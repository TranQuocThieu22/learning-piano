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ô hình" sheetId="1" state="visible" r:id="rId3"/>
    <sheet name="Ghi chú"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<sst xmlns="http://schemas.openxmlformats.org/spreadsheetml/2006/main" count="67" uniqueCount="67">
  <si>
    <t xml:space="preserve">Ước tính doanh thu hàng tháng — Gói Nền tảng 399.000đ</t>
  </si>
  <si>
    <t xml:space="preserve">Đây KHÔNG phải dự báo. Đây là mô hình để bạn thay giả định bằng số đo thật.</t>
  </si>
  <si>
    <t xml:space="preserve">GIẢ ĐỊNH &amp; KẾT QUẢ</t>
  </si>
  <si>
    <t xml:space="preserve">Thận trọng</t>
  </si>
  <si>
    <t xml:space="preserve">Cơ sở</t>
  </si>
  <si>
    <t xml:space="preserve">Lạc quan</t>
  </si>
  <si>
    <t xml:space="preserve">Cột Lạc quan xếp chồng cả 4 giả định tốt nhất cùng lúc — trên thực tế chúng rất hiếm khi cùng xảy ra. Đừng coi nó là mục tiêu.</t>
  </si>
  <si>
    <t xml:space="preserve">① Lượt truy cập web mỗi tháng</t>
  </si>
  <si>
    <t xml:space="preserve">Đo bằng Vercel Analytics. Lượt truy cập ≠ người đăng ký.</t>
  </si>
  <si>
    <t xml:space="preserve">② Tỷ lệ truy cập → tạo tài khoản Google</t>
  </si>
  <si>
    <t xml:space="preserve">Đo bằng số hàng trong bảng user chia cho lượt truy cập.</t>
  </si>
  <si>
    <t xml:space="preserve">Người đăng ký mới / tháng</t>
  </si>
  <si>
    <t xml:space="preserve">③ Tỷ lệ đăng ký → học hết Chương 1 (chạm paywall)</t>
  </si>
  <si>
    <t xml:space="preserve">BƯỚC QUYẾT ĐỊNH. Đo bằng bảng lesson_completion: bao nhiêu user tick đủ bài Chương 1.</t>
  </si>
  <si>
    <t xml:space="preserve">Số người thật sự chạm paywall / tháng</t>
  </si>
  <si>
    <t xml:space="preserve">④ Tỷ lệ chạm paywall → mua</t>
  </si>
  <si>
    <t xml:space="preserve">Chỉ áp cho người ĐÃ chạm paywall, không áp cho tổng người đăng ký.</t>
  </si>
  <si>
    <t xml:space="preserve">Số đơn hàng / tháng</t>
  </si>
  <si>
    <t xml:space="preserve">⑤ Giá bán một gói</t>
  </si>
  <si>
    <t xml:space="preserve">Giá ra mắt theo tài liệu định hướng. Tăng lên ~599k khi Giai đoạn 2 xong.</t>
  </si>
  <si>
    <t xml:space="preserve">Doanh thu gộp / tháng</t>
  </si>
  <si>
    <t xml:space="preserve">TRỪ ĐI CÁC KHOẢN THẤT THOÁT</t>
  </si>
  <si>
    <t xml:space="preserve">⑥ Phí cổng thanh toán</t>
  </si>
  <si>
    <t xml:space="preserve">MoMo/VNPay/Payos thường 1,5-3%. Thu QR thủ công thì để 0%.</t>
  </si>
  <si>
    <t xml:space="preserve">⑦ Tỷ lệ hoàn tiền (chính sách 7 ngày)</t>
  </si>
  <si>
    <t xml:space="preserve">Khóa học online thường 3-10%.</t>
  </si>
  <si>
    <t xml:space="preserve">Doanh thu thuần / tháng</t>
  </si>
  <si>
    <t xml:space="preserve">CHI PHÍ CỐ ĐỊNH HÀNG THÁNG</t>
  </si>
  <si>
    <t xml:space="preserve">⑧ Vercel Pro (bắt buộc khi thương mại)</t>
  </si>
  <si>
    <t xml:space="preserve">20 USD/tháng. Gói Hobby cấm dùng thương mại.</t>
  </si>
  <si>
    <t xml:space="preserve">⑨ Database (Neon / Vercel Postgres)</t>
  </si>
  <si>
    <t xml:space="preserve">Gói free đủ cho vài trăm người; lên Launch ~19 USD khi đông.</t>
  </si>
  <si>
    <t xml:space="preserve">⑩ Tên miền (chia đều theo tháng)</t>
  </si>
  <si>
    <t xml:space="preserve">~350k/năm.</t>
  </si>
  <si>
    <t xml:space="preserve">⑪ Chi phí quảng cáo / nội dung</t>
  </si>
  <si>
    <t xml:space="preserve">Để 0 nếu chỉ dùng kênh miễn phí. Đây là biến bạn chủ động nhất.</t>
  </si>
  <si>
    <t xml:space="preserve">Tổng chi phí cố định</t>
  </si>
  <si>
    <t xml:space="preserve">⑫ Thuế hộ kinh doanh (5% GTGT + 2% TNCN)</t>
  </si>
  <si>
    <t xml:space="preserve">Áp trên doanh thu, không phải trên lợi nhuận. Miễn nếu doanh thu năm dưới ngưỡng — hỏi kế toán.</t>
  </si>
  <si>
    <t xml:space="preserve">Số thuế phải nộp</t>
  </si>
  <si>
    <t xml:space="preserve">CÒN LẠI TRONG TÚI / THÁNG</t>
  </si>
  <si>
    <t xml:space="preserve">Quy đổi: mỗi lượt truy cập đáng giá bao nhiêu</t>
  </si>
  <si>
    <t xml:space="preserve">Con số này giúp bạn biết trả bao nhiêu cho một lượt click quảng cáo thì còn lãi.</t>
  </si>
  <si>
    <t xml:space="preserve">Số đơn tối thiểu để hòa vốn / tháng</t>
  </si>
  <si>
    <t xml:space="preserve">Bán được ít hơn số này là đang bù lỗ.</t>
  </si>
  <si>
    <t xml:space="preserve">BẢNG ĐỘ NHẠY — Doanh thu thuần/tháng (giữ nguyên cột Cơ sở, chỉ đổi 2 biến)</t>
  </si>
  <si>
    <t xml:space="preserve">Lượt truy cập ↓ / Tỷ lệ chạm paywall → mua →</t>
  </si>
  <si>
    <t xml:space="preserve">Ô vàng chữ xanh = bạn sửa. Ô xám/xanh lá = công thức tự tính, đừng gõ đè.</t>
  </si>
  <si>
    <t xml:space="preserve">Đọc cái này trước khi tin bất kỳ con số nào</t>
  </si>
  <si>
    <t xml:space="preserve">1. Không con số nào ở đây là dự báo.</t>
  </si>
  <si>
    <t xml:space="preserve">   Mọi ô vàng là giả định do mình đặt tạm để mô hình chạy được. Chúng chưa được kiểm chứng bằng doanh số thật của bạn, cũng không phải số liệu ngành. Ba kịch bản Thận trọng / Cơ sở / Lạc quan chỉ là ba cách nhìn, không phải xác suất.</t>
  </si>
  <si>
    <t xml:space="preserve">2. Biến quyết định là ③ — tỷ lệ học hết Chương 1.</t>
  </si>
  <si>
    <t xml:space="preserve">   Đây là chỗ hầu hết mô hình doanh thu khóa học bị sai. Người ta lấy 'số người đăng ký × 2-3% chuyển đổi freemium' — nhưng con số 2-3% đó trích từ phần mềm mà bản miễn phí dùng được ngay. Khóa piano thì người học phải tập đều 3-5 ngày mới CHẠM tới paywall. Phần lớn người đăng ký sẽ bỏ ở tuần thứ hai và không bao giờ nhìn thấy trang mua hàng.</t>
  </si>
  <si>
    <t xml:space="preserve">   Nếu tỷ lệ này là 12% thay vì 40%, doanh thu chênh nhau hơn ba lần — trong khi mọi biến khác giữ nguyên. Không có việc gì đáng làm hơn là đo nó.</t>
  </si>
  <si>
    <t xml:space="preserve">3. Cách đo bằng chính dữ liệu bạn đang có.</t>
  </si>
  <si>
    <t xml:space="preserve">   ② = số hàng trong bảng user ÷ lượt truy cập (Vercel Analytics).</t>
  </si>
  <si>
    <t xml:space="preserve">   ③ = số user có đủ bản ghi lesson_completion cho các bài Chương 1 ÷ tổng số user.</t>
  </si>
  <si>
    <t xml:space="preserve">   Bảng lesson_completion đã ghi sẵn completed_at, nên bạn còn đo được cả thời gian trung bình từ lúc đăng ký đến lúc chạm paywall — con số đó cho biết dòng tiền về nhanh hay chậm.</t>
  </si>
  <si>
    <t xml:space="preserve">   ④ chỉ đo được sau khi thật sự mở bán.</t>
  </si>
  <si>
    <t xml:space="preserve">4. Doanh thu tháng đầu không lặp lại được.</t>
  </si>
  <si>
    <t xml:space="preserve">   Mua đứt nghĩa là mỗi khách trả tiền đúng một lần. Doanh thu tháng này = số người MỚI đi hết Chương 1 tháng này. Không có phần thu định kỳ nào cộng dồn. Vì vậy đợt ra mắt thường có một đỉnh (những người đã theo dõi sẵn) rồi tụt xuống mặt bằng thấp hơn nhiều — đừng lấy tháng đầu nhân 12.</t>
  </si>
  <si>
    <t xml:space="preserve">5. Những gì mô hình này CỐ TÌNH không tính.</t>
  </si>
  <si>
    <t xml:space="preserve">   Công sức của bạn: soạn nội dung, trả lời người học, sửa lỗi. Nếu quy ra giờ, phần 'còn lại trong túi' sẽ nhỏ đi đáng kể.</t>
  </si>
  <si>
    <t xml:space="preserve">   Doanh thu Giai đoạn 3-4: chưa soạn thì chưa được tính vào.</t>
  </si>
  <si>
    <t xml:space="preserve">   Rủi ro sao chép nội dung: khóa học dạng chữ bị chụp màn hình phát tán là rất dễ. Đây là lập luận mạnh nhất cho việc ưu tiên Web MIDI.</t>
  </si>
  <si>
    <t xml:space="preserve">6. Thứ tự việc cần làm vẫn không đổi.</t>
  </si>
  <si>
    <t xml:space="preserve">   Chương 5, 6 và Giai đoạn 2 phải xong trước khi thu tiền. Mô hình này chỉ để bạn biết cần bao nhiêu người mới đủ bù chi phí — không phải tín hiệu để mở bán sớm.</t>
  </si>
</sst>
</file>

<file path=xl/styles.xml><?xml version="1.0" encoding="utf-8"?>
<styleSheet xmlns="http://schemas.openxmlformats.org/spreadsheetml/2006/main">
  <numFmts count="6">
    <numFmt numFmtId="164" formatCode="General"/>
    <numFmt numFmtId="165" formatCode="#,##0"/>
    <numFmt numFmtId="166" formatCode="0.0%"/>
    <numFmt numFmtId="167" formatCode="#,##0&quot; đ&quot;"/>
    <numFmt numFmtId="168" formatCode="#,##0.0"/>
    <numFmt numFmtId="169" formatCode="0%"/>
  </numFmts>
  <fonts count="15">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C00000"/>
      <name val="Cambria"/>
      <family val="0"/>
      <charset val="1"/>
    </font>
    <font>
      <b val="true"/>
      <sz val="11"/>
      <color rgb="FFFFFFFF"/>
      <name val="Cambria"/>
      <family val="0"/>
      <charset val="1"/>
    </font>
    <font>
      <sz val="9"/>
      <color rgb="FFC00000"/>
      <name val="Cambria"/>
      <family val="0"/>
      <charset val="1"/>
    </font>
    <font>
      <sz val="11"/>
      <color rgb="FF0000FF"/>
      <name val="Cambria"/>
      <family val="0"/>
      <charset val="1"/>
    </font>
    <font>
      <sz val="9"/>
      <color rgb="FF808080"/>
      <name val="Cambria"/>
      <family val="0"/>
      <charset val="1"/>
    </font>
    <font>
      <sz val="11"/>
      <color rgb="FF000000"/>
      <name val="Cambria"/>
      <family val="0"/>
      <charset val="1"/>
    </font>
    <font>
      <b val="true"/>
      <sz val="11"/>
      <name val="Cambria"/>
      <family val="0"/>
      <charset val="1"/>
    </font>
    <font>
      <b val="true"/>
      <sz val="12"/>
      <name val="Cambria"/>
      <family val="0"/>
      <charset val="1"/>
    </font>
    <font>
      <b val="true"/>
      <sz val="9"/>
      <name val="Cambria"/>
      <family val="0"/>
      <charset val="1"/>
    </font>
    <font>
      <i val="true"/>
      <sz val="11"/>
      <color rgb="FF808080"/>
      <name val="Cambria"/>
      <family val="0"/>
      <charset val="1"/>
    </font>
  </fonts>
  <fills count="6">
    <fill>
      <patternFill patternType="none"/>
    </fill>
    <fill>
      <patternFill patternType="gray125"/>
    </fill>
    <fill>
      <patternFill patternType="solid">
        <fgColor rgb="FF2F5597"/>
        <bgColor rgb="FF666699"/>
      </patternFill>
    </fill>
    <fill>
      <patternFill patternType="solid">
        <fgColor rgb="FFFFF2CC"/>
        <bgColor rgb="FFF2F2F2"/>
      </patternFill>
    </fill>
    <fill>
      <patternFill patternType="solid">
        <fgColor rgb="FFF2F2F2"/>
        <bgColor rgb="FFE2EFDA"/>
      </patternFill>
    </fill>
    <fill>
      <patternFill patternType="solid">
        <fgColor rgb="FFE2EFDA"/>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8" fillId="3" borderId="1" xfId="0" applyFont="true" applyBorder="tru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general" vertical="bottom"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5" fontId="11" fillId="5" borderId="1" xfId="0" applyFont="true" applyBorder="true" applyAlignment="true" applyProtection="false">
      <alignment horizontal="general" vertical="bottom" textRotation="0" wrapText="false" indent="0" shrinkToFit="false"/>
      <protection locked="true" hidden="false"/>
    </xf>
    <xf numFmtId="167" fontId="8" fillId="3" borderId="1" xfId="0" applyFont="true" applyBorder="tru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7" fontId="11" fillId="4"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7" fontId="11" fillId="5" borderId="1" xfId="0" applyFont="true" applyBorder="true" applyAlignment="true" applyProtection="false">
      <alignment horizontal="general" vertical="bottom" textRotation="0" wrapText="false" indent="0" shrinkToFit="false"/>
      <protection locked="true" hidden="false"/>
    </xf>
    <xf numFmtId="167" fontId="10" fillId="4" borderId="1" xfId="0" applyFont="true" applyBorder="true" applyAlignment="tru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7" fontId="12" fillId="5"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8" fontId="11" fillId="0"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5" fontId="6" fillId="2" borderId="1" xfId="0" applyFont="true" applyBorder="true" applyAlignment="tru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7" min="2" style="1" width="16"/>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5" t="s">
        <v>3</v>
      </c>
      <c r="C4" s="5" t="s">
        <v>4</v>
      </c>
      <c r="D4" s="5" t="s">
        <v>5</v>
      </c>
      <c r="E4" s="6" t="s">
        <v>6</v>
      </c>
    </row>
    <row r="5" customFormat="false" ht="15" hidden="false" customHeight="true" outlineLevel="0" collapsed="false">
      <c r="A5" s="7" t="s">
        <v>7</v>
      </c>
      <c r="B5" s="8" t="n">
        <v>800</v>
      </c>
      <c r="C5" s="8" t="n">
        <v>3000</v>
      </c>
      <c r="D5" s="8" t="n">
        <v>8000</v>
      </c>
      <c r="E5" s="9" t="s">
        <v>8</v>
      </c>
    </row>
    <row r="6" customFormat="false" ht="15" hidden="false" customHeight="true" outlineLevel="0" collapsed="false">
      <c r="A6" s="7" t="s">
        <v>9</v>
      </c>
      <c r="B6" s="10" t="n">
        <v>0.04</v>
      </c>
      <c r="C6" s="10" t="n">
        <v>0.07</v>
      </c>
      <c r="D6" s="10" t="n">
        <v>0.12</v>
      </c>
      <c r="E6" s="9" t="s">
        <v>10</v>
      </c>
    </row>
    <row r="7" customFormat="false" ht="15" hidden="false" customHeight="true" outlineLevel="0" collapsed="false">
      <c r="A7" s="11" t="s">
        <v>11</v>
      </c>
      <c r="B7" s="12" t="n">
        <f aca="false">B5*B6</f>
        <v>32</v>
      </c>
      <c r="C7" s="12" t="n">
        <f aca="false">C5*C6</f>
        <v>210</v>
      </c>
      <c r="D7" s="12" t="n">
        <f aca="false">D5*D6</f>
        <v>960</v>
      </c>
    </row>
    <row r="8" customFormat="false" ht="15" hidden="false" customHeight="true" outlineLevel="0" collapsed="false">
      <c r="A8" s="7" t="s">
        <v>12</v>
      </c>
      <c r="B8" s="10" t="n">
        <v>0.12</v>
      </c>
      <c r="C8" s="10" t="n">
        <v>0.25</v>
      </c>
      <c r="D8" s="10" t="n">
        <v>0.4</v>
      </c>
      <c r="E8" s="9" t="s">
        <v>13</v>
      </c>
    </row>
    <row r="9" customFormat="false" ht="15" hidden="false" customHeight="true" outlineLevel="0" collapsed="false">
      <c r="A9" s="11" t="s">
        <v>14</v>
      </c>
      <c r="B9" s="12" t="n">
        <f aca="false">B7*B8</f>
        <v>3.84</v>
      </c>
      <c r="C9" s="12" t="n">
        <f aca="false">C7*C8</f>
        <v>52.5</v>
      </c>
      <c r="D9" s="12" t="n">
        <f aca="false">D7*D8</f>
        <v>384</v>
      </c>
    </row>
    <row r="10" customFormat="false" ht="15" hidden="false" customHeight="true" outlineLevel="0" collapsed="false">
      <c r="A10" s="7" t="s">
        <v>15</v>
      </c>
      <c r="B10" s="10" t="n">
        <v>0.12</v>
      </c>
      <c r="C10" s="10" t="n">
        <v>0.22</v>
      </c>
      <c r="D10" s="10" t="n">
        <v>0.35</v>
      </c>
      <c r="E10" s="9" t="s">
        <v>16</v>
      </c>
    </row>
    <row r="11" customFormat="false" ht="15" hidden="false" customHeight="true" outlineLevel="0" collapsed="false">
      <c r="A11" s="13" t="s">
        <v>17</v>
      </c>
      <c r="B11" s="14" t="n">
        <f aca="false">B9*B10</f>
        <v>0.4608</v>
      </c>
      <c r="C11" s="14" t="n">
        <f aca="false">C9*C10</f>
        <v>11.55</v>
      </c>
      <c r="D11" s="14" t="n">
        <f aca="false">D9*D10</f>
        <v>134.4</v>
      </c>
    </row>
    <row r="12" customFormat="false" ht="15" hidden="false" customHeight="true" outlineLevel="0" collapsed="false">
      <c r="A12" s="7" t="s">
        <v>18</v>
      </c>
      <c r="B12" s="15" t="n">
        <v>399000</v>
      </c>
      <c r="C12" s="15" t="n">
        <v>399000</v>
      </c>
      <c r="D12" s="15" t="n">
        <v>399000</v>
      </c>
      <c r="E12" s="9" t="s">
        <v>19</v>
      </c>
    </row>
    <row r="13" customFormat="false" ht="15" hidden="false" customHeight="true" outlineLevel="0" collapsed="false">
      <c r="A13" s="16" t="s">
        <v>20</v>
      </c>
      <c r="B13" s="17" t="n">
        <f aca="false">B11*B12</f>
        <v>183859.2</v>
      </c>
      <c r="C13" s="17" t="n">
        <f aca="false">C11*C12</f>
        <v>4608450</v>
      </c>
      <c r="D13" s="17" t="n">
        <f aca="false">D11*D12</f>
        <v>53625600</v>
      </c>
    </row>
    <row r="15" customFormat="false" ht="15" hidden="false" customHeight="true" outlineLevel="0" collapsed="false">
      <c r="A15" s="18" t="s">
        <v>21</v>
      </c>
      <c r="B15" s="19"/>
      <c r="C15" s="19"/>
      <c r="D15" s="19"/>
    </row>
    <row r="16" customFormat="false" ht="15" hidden="false" customHeight="true" outlineLevel="0" collapsed="false">
      <c r="A16" s="7" t="s">
        <v>22</v>
      </c>
      <c r="B16" s="10" t="n">
        <v>0.025</v>
      </c>
      <c r="C16" s="10" t="n">
        <v>0.025</v>
      </c>
      <c r="D16" s="10" t="n">
        <v>0.025</v>
      </c>
      <c r="E16" s="9" t="s">
        <v>23</v>
      </c>
    </row>
    <row r="17" customFormat="false" ht="15" hidden="false" customHeight="true" outlineLevel="0" collapsed="false">
      <c r="A17" s="7" t="s">
        <v>24</v>
      </c>
      <c r="B17" s="10" t="n">
        <v>0.08</v>
      </c>
      <c r="C17" s="10" t="n">
        <v>0.05</v>
      </c>
      <c r="D17" s="10" t="n">
        <v>0.03</v>
      </c>
      <c r="E17" s="9" t="s">
        <v>25</v>
      </c>
    </row>
    <row r="18" customFormat="false" ht="15" hidden="false" customHeight="true" outlineLevel="0" collapsed="false">
      <c r="A18" s="13" t="s">
        <v>26</v>
      </c>
      <c r="B18" s="20" t="n">
        <f aca="false">B13*(1-B16)*(1-B17)</f>
        <v>164921.7024</v>
      </c>
      <c r="C18" s="20" t="n">
        <f aca="false">C13*(1-C16)*(1-C17)</f>
        <v>4268576.8125</v>
      </c>
      <c r="D18" s="20" t="n">
        <f aca="false">D13*(1-D16)*(1-D17)</f>
        <v>50716411.2</v>
      </c>
    </row>
    <row r="20" customFormat="false" ht="15" hidden="false" customHeight="true" outlineLevel="0" collapsed="false">
      <c r="A20" s="18" t="s">
        <v>27</v>
      </c>
      <c r="B20" s="19"/>
      <c r="C20" s="19"/>
      <c r="D20" s="19"/>
    </row>
    <row r="21" customFormat="false" ht="15" hidden="false" customHeight="true" outlineLevel="0" collapsed="false">
      <c r="A21" s="7" t="s">
        <v>28</v>
      </c>
      <c r="B21" s="15" t="n">
        <v>520000</v>
      </c>
      <c r="C21" s="15" t="n">
        <v>520000</v>
      </c>
      <c r="D21" s="15" t="n">
        <v>520000</v>
      </c>
      <c r="E21" s="9" t="s">
        <v>29</v>
      </c>
    </row>
    <row r="22" customFormat="false" ht="15" hidden="false" customHeight="true" outlineLevel="0" collapsed="false">
      <c r="A22" s="7" t="s">
        <v>30</v>
      </c>
      <c r="B22" s="15" t="n">
        <v>0</v>
      </c>
      <c r="C22" s="15" t="n">
        <v>0</v>
      </c>
      <c r="D22" s="15" t="n">
        <v>470000</v>
      </c>
      <c r="E22" s="9" t="s">
        <v>31</v>
      </c>
    </row>
    <row r="23" customFormat="false" ht="15" hidden="false" customHeight="true" outlineLevel="0" collapsed="false">
      <c r="A23" s="7" t="s">
        <v>32</v>
      </c>
      <c r="B23" s="15" t="n">
        <v>30000</v>
      </c>
      <c r="C23" s="15" t="n">
        <v>30000</v>
      </c>
      <c r="D23" s="15" t="n">
        <v>30000</v>
      </c>
      <c r="E23" s="9" t="s">
        <v>33</v>
      </c>
    </row>
    <row r="24" customFormat="false" ht="15" hidden="false" customHeight="true" outlineLevel="0" collapsed="false">
      <c r="A24" s="7" t="s">
        <v>34</v>
      </c>
      <c r="B24" s="15" t="n">
        <v>0</v>
      </c>
      <c r="C24" s="15" t="n">
        <v>1000000</v>
      </c>
      <c r="D24" s="15" t="n">
        <v>3000000</v>
      </c>
      <c r="E24" s="9" t="s">
        <v>35</v>
      </c>
    </row>
    <row r="25" customFormat="false" ht="15" hidden="false" customHeight="true" outlineLevel="0" collapsed="false">
      <c r="A25" s="11" t="s">
        <v>36</v>
      </c>
      <c r="B25" s="21" t="n">
        <f aca="false">SUM(B21:B24)</f>
        <v>550000</v>
      </c>
      <c r="C25" s="21" t="n">
        <f aca="false">SUM(C21:C24)</f>
        <v>1550000</v>
      </c>
      <c r="D25" s="21" t="n">
        <f aca="false">SUM(D21:D24)</f>
        <v>4020000</v>
      </c>
    </row>
    <row r="26" customFormat="false" ht="15" hidden="false" customHeight="true" outlineLevel="0" collapsed="false">
      <c r="A26" s="7" t="s">
        <v>37</v>
      </c>
      <c r="B26" s="10" t="n">
        <v>0.07</v>
      </c>
      <c r="C26" s="10" t="n">
        <v>0.07</v>
      </c>
      <c r="D26" s="10" t="n">
        <v>0.07</v>
      </c>
      <c r="E26" s="9" t="s">
        <v>38</v>
      </c>
    </row>
    <row r="27" customFormat="false" ht="15" hidden="false" customHeight="true" outlineLevel="0" collapsed="false">
      <c r="A27" s="11" t="s">
        <v>39</v>
      </c>
      <c r="B27" s="21" t="n">
        <f aca="false">B18*B26</f>
        <v>11544.519168</v>
      </c>
      <c r="C27" s="21" t="n">
        <f aca="false">C18*C26</f>
        <v>298800.376875</v>
      </c>
      <c r="D27" s="21" t="n">
        <f aca="false">D18*D26</f>
        <v>3550148.784</v>
      </c>
    </row>
    <row r="28" customFormat="false" ht="15" hidden="false" customHeight="true" outlineLevel="0" collapsed="false">
      <c r="A28" s="22" t="s">
        <v>40</v>
      </c>
      <c r="B28" s="23" t="n">
        <f aca="false">B18-B25-B27</f>
        <v>-396622.816768</v>
      </c>
      <c r="C28" s="23" t="n">
        <f aca="false">C18-C25-C27</f>
        <v>2419776.435625</v>
      </c>
      <c r="D28" s="23" t="n">
        <f aca="false">D18-D25-D27</f>
        <v>43146262.416</v>
      </c>
    </row>
    <row r="29" customFormat="false" ht="15" hidden="false" customHeight="true" outlineLevel="0" collapsed="false">
      <c r="A29" s="24" t="s">
        <v>41</v>
      </c>
      <c r="B29" s="25" t="n">
        <f aca="false">IF(B5=0,0,B18/B5)</f>
        <v>206.152128</v>
      </c>
      <c r="C29" s="25" t="n">
        <f aca="false">IF(C5=0,0,C18/C5)</f>
        <v>1422.8589375</v>
      </c>
      <c r="D29" s="25" t="n">
        <f aca="false">IF(D5=0,0,D18/D5)</f>
        <v>6339.5514</v>
      </c>
      <c r="E29" s="9" t="s">
        <v>42</v>
      </c>
    </row>
    <row r="30" customFormat="false" ht="15" hidden="false" customHeight="true" outlineLevel="0" collapsed="false">
      <c r="A30" s="26" t="s">
        <v>43</v>
      </c>
      <c r="B30" s="27" t="n">
        <f aca="false">IF(B13=0,0,B25/(B12*(1-B16)*(1-B17)*(1-B26)))</f>
        <v>1.65239701668431</v>
      </c>
      <c r="C30" s="27" t="n">
        <f aca="false">IF(C13=0,0,C25/(C12*(1-C16)*(1-C17)*(1-C26)))</f>
        <v>4.50969980055853</v>
      </c>
      <c r="D30" s="27" t="n">
        <f aca="false">IF(D13=0,0,D25/(D12*(1-D16)*(1-D17)*(1-D26)))</f>
        <v>11.454967434874</v>
      </c>
      <c r="E30" s="9" t="s">
        <v>44</v>
      </c>
    </row>
    <row r="33" customFormat="false" ht="15" hidden="false" customHeight="true" outlineLevel="0" collapsed="false">
      <c r="A33" s="26" t="s">
        <v>45</v>
      </c>
    </row>
    <row r="34" customFormat="false" ht="15" hidden="false" customHeight="true" outlineLevel="0" collapsed="false">
      <c r="A34" s="28" t="s">
        <v>46</v>
      </c>
      <c r="B34" s="29" t="n">
        <v>0.1</v>
      </c>
      <c r="C34" s="29" t="n">
        <v>0.15</v>
      </c>
      <c r="D34" s="29" t="n">
        <v>0.2</v>
      </c>
      <c r="E34" s="29" t="n">
        <v>0.25</v>
      </c>
      <c r="F34" s="29" t="n">
        <v>0.3</v>
      </c>
      <c r="G34" s="29" t="n">
        <v>0.35</v>
      </c>
    </row>
    <row r="35" customFormat="false" ht="15" hidden="false" customHeight="true" outlineLevel="0" collapsed="false">
      <c r="A35" s="30" t="n">
        <v>500</v>
      </c>
      <c r="B35" s="31" t="n">
        <f aca="false">$A35*$C$6*$C$8*B$34*$C$12*(1-$C$16)*(1-$C$17)</f>
        <v>323377.03125</v>
      </c>
      <c r="C35" s="31" t="n">
        <f aca="false">$A35*$C$6*$C$8*C$34*$C$12*(1-$C$16)*(1-$C$17)</f>
        <v>485065.546875</v>
      </c>
      <c r="D35" s="31" t="n">
        <f aca="false">$A35*$C$6*$C$8*D$34*$C$12*(1-$C$16)*(1-$C$17)</f>
        <v>646754.0625</v>
      </c>
      <c r="E35" s="31" t="n">
        <f aca="false">$A35*$C$6*$C$8*E$34*$C$12*(1-$C$16)*(1-$C$17)</f>
        <v>808442.578125</v>
      </c>
      <c r="F35" s="31" t="n">
        <f aca="false">$A35*$C$6*$C$8*F$34*$C$12*(1-$C$16)*(1-$C$17)</f>
        <v>970131.09375</v>
      </c>
      <c r="G35" s="31" t="n">
        <f aca="false">$A35*$C$6*$C$8*G$34*$C$12*(1-$C$16)*(1-$C$17)</f>
        <v>1131819.609375</v>
      </c>
    </row>
    <row r="36" customFormat="false" ht="15" hidden="false" customHeight="true" outlineLevel="0" collapsed="false">
      <c r="A36" s="30" t="n">
        <v>1000</v>
      </c>
      <c r="B36" s="31" t="n">
        <f aca="false">$A36*$C$6*$C$8*B$34*$C$12*(1-$C$16)*(1-$C$17)</f>
        <v>646754.0625</v>
      </c>
      <c r="C36" s="31" t="n">
        <f aca="false">$A36*$C$6*$C$8*C$34*$C$12*(1-$C$16)*(1-$C$17)</f>
        <v>970131.09375</v>
      </c>
      <c r="D36" s="31" t="n">
        <f aca="false">$A36*$C$6*$C$8*D$34*$C$12*(1-$C$16)*(1-$C$17)</f>
        <v>1293508.125</v>
      </c>
      <c r="E36" s="31" t="n">
        <f aca="false">$A36*$C$6*$C$8*E$34*$C$12*(1-$C$16)*(1-$C$17)</f>
        <v>1616885.15625</v>
      </c>
      <c r="F36" s="31" t="n">
        <f aca="false">$A36*$C$6*$C$8*F$34*$C$12*(1-$C$16)*(1-$C$17)</f>
        <v>1940262.1875</v>
      </c>
      <c r="G36" s="31" t="n">
        <f aca="false">$A36*$C$6*$C$8*G$34*$C$12*(1-$C$16)*(1-$C$17)</f>
        <v>2263639.21875</v>
      </c>
    </row>
    <row r="37" customFormat="false" ht="15" hidden="false" customHeight="true" outlineLevel="0" collapsed="false">
      <c r="A37" s="30" t="n">
        <v>2000</v>
      </c>
      <c r="B37" s="31" t="n">
        <f aca="false">$A37*$C$6*$C$8*B$34*$C$12*(1-$C$16)*(1-$C$17)</f>
        <v>1293508.125</v>
      </c>
      <c r="C37" s="31" t="n">
        <f aca="false">$A37*$C$6*$C$8*C$34*$C$12*(1-$C$16)*(1-$C$17)</f>
        <v>1940262.1875</v>
      </c>
      <c r="D37" s="31" t="n">
        <f aca="false">$A37*$C$6*$C$8*D$34*$C$12*(1-$C$16)*(1-$C$17)</f>
        <v>2587016.25</v>
      </c>
      <c r="E37" s="31" t="n">
        <f aca="false">$A37*$C$6*$C$8*E$34*$C$12*(1-$C$16)*(1-$C$17)</f>
        <v>3233770.3125</v>
      </c>
      <c r="F37" s="31" t="n">
        <f aca="false">$A37*$C$6*$C$8*F$34*$C$12*(1-$C$16)*(1-$C$17)</f>
        <v>3880524.375</v>
      </c>
      <c r="G37" s="31" t="n">
        <f aca="false">$A37*$C$6*$C$8*G$34*$C$12*(1-$C$16)*(1-$C$17)</f>
        <v>4527278.4375</v>
      </c>
    </row>
    <row r="38" customFormat="false" ht="15" hidden="false" customHeight="true" outlineLevel="0" collapsed="false">
      <c r="A38" s="30" t="n">
        <v>3000</v>
      </c>
      <c r="B38" s="31" t="n">
        <f aca="false">$A38*$C$6*$C$8*B$34*$C$12*(1-$C$16)*(1-$C$17)</f>
        <v>1940262.1875</v>
      </c>
      <c r="C38" s="31" t="n">
        <f aca="false">$A38*$C$6*$C$8*C$34*$C$12*(1-$C$16)*(1-$C$17)</f>
        <v>2910393.28125</v>
      </c>
      <c r="D38" s="31" t="n">
        <f aca="false">$A38*$C$6*$C$8*D$34*$C$12*(1-$C$16)*(1-$C$17)</f>
        <v>3880524.375</v>
      </c>
      <c r="E38" s="31" t="n">
        <f aca="false">$A38*$C$6*$C$8*E$34*$C$12*(1-$C$16)*(1-$C$17)</f>
        <v>4850655.46875</v>
      </c>
      <c r="F38" s="31" t="n">
        <f aca="false">$A38*$C$6*$C$8*F$34*$C$12*(1-$C$16)*(1-$C$17)</f>
        <v>5820786.5625</v>
      </c>
      <c r="G38" s="31" t="n">
        <f aca="false">$A38*$C$6*$C$8*G$34*$C$12*(1-$C$16)*(1-$C$17)</f>
        <v>6790917.65625</v>
      </c>
    </row>
    <row r="39" customFormat="false" ht="15" hidden="false" customHeight="true" outlineLevel="0" collapsed="false">
      <c r="A39" s="30" t="n">
        <v>5000</v>
      </c>
      <c r="B39" s="31" t="n">
        <f aca="false">$A39*$C$6*$C$8*B$34*$C$12*(1-$C$16)*(1-$C$17)</f>
        <v>3233770.3125</v>
      </c>
      <c r="C39" s="31" t="n">
        <f aca="false">$A39*$C$6*$C$8*C$34*$C$12*(1-$C$16)*(1-$C$17)</f>
        <v>4850655.46875</v>
      </c>
      <c r="D39" s="31" t="n">
        <f aca="false">$A39*$C$6*$C$8*D$34*$C$12*(1-$C$16)*(1-$C$17)</f>
        <v>6467540.625</v>
      </c>
      <c r="E39" s="31" t="n">
        <f aca="false">$A39*$C$6*$C$8*E$34*$C$12*(1-$C$16)*(1-$C$17)</f>
        <v>8084425.78125</v>
      </c>
      <c r="F39" s="31" t="n">
        <f aca="false">$A39*$C$6*$C$8*F$34*$C$12*(1-$C$16)*(1-$C$17)</f>
        <v>9701310.9375</v>
      </c>
      <c r="G39" s="31" t="n">
        <f aca="false">$A39*$C$6*$C$8*G$34*$C$12*(1-$C$16)*(1-$C$17)</f>
        <v>11318196.09375</v>
      </c>
    </row>
    <row r="40" customFormat="false" ht="15" hidden="false" customHeight="true" outlineLevel="0" collapsed="false">
      <c r="A40" s="30" t="n">
        <v>8000</v>
      </c>
      <c r="B40" s="31" t="n">
        <f aca="false">$A40*$C$6*$C$8*B$34*$C$12*(1-$C$16)*(1-$C$17)</f>
        <v>5174032.5</v>
      </c>
      <c r="C40" s="31" t="n">
        <f aca="false">$A40*$C$6*$C$8*C$34*$C$12*(1-$C$16)*(1-$C$17)</f>
        <v>7761048.75</v>
      </c>
      <c r="D40" s="31" t="n">
        <f aca="false">$A40*$C$6*$C$8*D$34*$C$12*(1-$C$16)*(1-$C$17)</f>
        <v>10348065</v>
      </c>
      <c r="E40" s="31" t="n">
        <f aca="false">$A40*$C$6*$C$8*E$34*$C$12*(1-$C$16)*(1-$C$17)</f>
        <v>12935081.25</v>
      </c>
      <c r="F40" s="31" t="n">
        <f aca="false">$A40*$C$6*$C$8*F$34*$C$12*(1-$C$16)*(1-$C$17)</f>
        <v>15522097.5</v>
      </c>
      <c r="G40" s="31" t="n">
        <f aca="false">$A40*$C$6*$C$8*G$34*$C$12*(1-$C$16)*(1-$C$17)</f>
        <v>18109113.75</v>
      </c>
    </row>
    <row r="41" customFormat="false" ht="15" hidden="false" customHeight="true" outlineLevel="0" collapsed="false">
      <c r="A41" s="30" t="n">
        <v>15000</v>
      </c>
      <c r="B41" s="31" t="n">
        <f aca="false">$A41*$C$6*$C$8*B$34*$C$12*(1-$C$16)*(1-$C$17)</f>
        <v>9701310.9375</v>
      </c>
      <c r="C41" s="31" t="n">
        <f aca="false">$A41*$C$6*$C$8*C$34*$C$12*(1-$C$16)*(1-$C$17)</f>
        <v>14551966.40625</v>
      </c>
      <c r="D41" s="31" t="n">
        <f aca="false">$A41*$C$6*$C$8*D$34*$C$12*(1-$C$16)*(1-$C$17)</f>
        <v>19402621.875</v>
      </c>
      <c r="E41" s="31" t="n">
        <f aca="false">$A41*$C$6*$C$8*E$34*$C$12*(1-$C$16)*(1-$C$17)</f>
        <v>24253277.34375</v>
      </c>
      <c r="F41" s="31" t="n">
        <f aca="false">$A41*$C$6*$C$8*F$34*$C$12*(1-$C$16)*(1-$C$17)</f>
        <v>29103932.8125</v>
      </c>
      <c r="G41" s="31" t="n">
        <f aca="false">$A41*$C$6*$C$8*G$34*$C$12*(1-$C$16)*(1-$C$17)</f>
        <v>33954588.28125</v>
      </c>
    </row>
    <row r="42" customFormat="false" ht="15" hidden="false" customHeight="true" outlineLevel="0" collapsed="false">
      <c r="A42" s="30" t="n">
        <v>30000</v>
      </c>
      <c r="B42" s="31" t="n">
        <f aca="false">$A42*$C$6*$C$8*B$34*$C$12*(1-$C$16)*(1-$C$17)</f>
        <v>19402621.875</v>
      </c>
      <c r="C42" s="31" t="n">
        <f aca="false">$A42*$C$6*$C$8*C$34*$C$12*(1-$C$16)*(1-$C$17)</f>
        <v>29103932.8125</v>
      </c>
      <c r="D42" s="31" t="n">
        <f aca="false">$A42*$C$6*$C$8*D$34*$C$12*(1-$C$16)*(1-$C$17)</f>
        <v>38805243.75</v>
      </c>
      <c r="E42" s="31" t="n">
        <f aca="false">$A42*$C$6*$C$8*E$34*$C$12*(1-$C$16)*(1-$C$17)</f>
        <v>48506554.6875</v>
      </c>
      <c r="F42" s="31" t="n">
        <f aca="false">$A42*$C$6*$C$8*F$34*$C$12*(1-$C$16)*(1-$C$17)</f>
        <v>58207865.625</v>
      </c>
      <c r="G42" s="31" t="n">
        <f aca="false">$A42*$C$6*$C$8*G$34*$C$12*(1-$C$16)*(1-$C$17)</f>
        <v>67909176.5625</v>
      </c>
    </row>
    <row r="44" customFormat="false" ht="15" hidden="false" customHeight="true" outlineLevel="0" collapsed="false">
      <c r="A44" s="32"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7.25" hidden="false" customHeight="true" outlineLevel="0" collapsed="false">
      <c r="A1" s="33" t="s">
        <v>48</v>
      </c>
    </row>
    <row r="2" customFormat="false" ht="15" hidden="false" customHeight="true" outlineLevel="0" collapsed="false">
      <c r="A2" s="34"/>
    </row>
    <row r="3" customFormat="false" ht="15" hidden="false" customHeight="true" outlineLevel="0" collapsed="false">
      <c r="A3" s="35" t="s">
        <v>49</v>
      </c>
    </row>
    <row r="4" customFormat="false" ht="27.75" hidden="false" customHeight="true" outlineLevel="0" collapsed="false">
      <c r="A4" s="34" t="s">
        <v>50</v>
      </c>
    </row>
    <row r="5" customFormat="false" ht="15" hidden="false" customHeight="true" outlineLevel="0" collapsed="false">
      <c r="A5" s="34"/>
    </row>
    <row r="6" customFormat="false" ht="15" hidden="false" customHeight="true" outlineLevel="0" collapsed="false">
      <c r="A6" s="35" t="s">
        <v>51</v>
      </c>
    </row>
    <row r="7" customFormat="false" ht="41.25" hidden="false" customHeight="true" outlineLevel="0" collapsed="false">
      <c r="A7" s="34" t="s">
        <v>52</v>
      </c>
    </row>
    <row r="8" customFormat="false" ht="27.75" hidden="false" customHeight="true" outlineLevel="0" collapsed="false">
      <c r="A8" s="34" t="s">
        <v>53</v>
      </c>
    </row>
    <row r="9" customFormat="false" ht="15" hidden="false" customHeight="true" outlineLevel="0" collapsed="false">
      <c r="A9" s="34"/>
    </row>
    <row r="10" customFormat="false" ht="15" hidden="false" customHeight="true" outlineLevel="0" collapsed="false">
      <c r="A10" s="35" t="s">
        <v>54</v>
      </c>
    </row>
    <row r="11" customFormat="false" ht="15" hidden="false" customHeight="true" outlineLevel="0" collapsed="false">
      <c r="A11" s="34" t="s">
        <v>55</v>
      </c>
    </row>
    <row r="12" customFormat="false" ht="15" hidden="false" customHeight="true" outlineLevel="0" collapsed="false">
      <c r="A12" s="34" t="s">
        <v>56</v>
      </c>
    </row>
    <row r="13" customFormat="false" ht="27.75" hidden="false" customHeight="true" outlineLevel="0" collapsed="false">
      <c r="A13" s="34" t="s">
        <v>57</v>
      </c>
    </row>
    <row r="14" customFormat="false" ht="15" hidden="false" customHeight="true" outlineLevel="0" collapsed="false">
      <c r="A14" s="34" t="s">
        <v>58</v>
      </c>
    </row>
    <row r="15" customFormat="false" ht="15" hidden="false" customHeight="true" outlineLevel="0" collapsed="false">
      <c r="A15" s="34"/>
    </row>
    <row r="16" customFormat="false" ht="15" hidden="false" customHeight="true" outlineLevel="0" collapsed="false">
      <c r="A16" s="35" t="s">
        <v>59</v>
      </c>
    </row>
    <row r="17" customFormat="false" ht="41.25" hidden="false" customHeight="true" outlineLevel="0" collapsed="false">
      <c r="A17" s="34" t="s">
        <v>60</v>
      </c>
    </row>
    <row r="18" customFormat="false" ht="15" hidden="false" customHeight="true" outlineLevel="0" collapsed="false">
      <c r="A18" s="34"/>
    </row>
    <row r="19" customFormat="false" ht="15" hidden="false" customHeight="true" outlineLevel="0" collapsed="false">
      <c r="A19" s="35" t="s">
        <v>61</v>
      </c>
    </row>
    <row r="20" customFormat="false" ht="15" hidden="false" customHeight="true" outlineLevel="0" collapsed="false">
      <c r="A20" s="34" t="s">
        <v>62</v>
      </c>
    </row>
    <row r="21" customFormat="false" ht="15" hidden="false" customHeight="true" outlineLevel="0" collapsed="false">
      <c r="A21" s="34" t="s">
        <v>63</v>
      </c>
    </row>
    <row r="22" customFormat="false" ht="27.75" hidden="false" customHeight="true" outlineLevel="0" collapsed="false">
      <c r="A22" s="34" t="s">
        <v>64</v>
      </c>
    </row>
    <row r="23" customFormat="false" ht="15" hidden="false" customHeight="true" outlineLevel="0" collapsed="false">
      <c r="A23" s="34"/>
    </row>
    <row r="24" customFormat="false" ht="15" hidden="false" customHeight="true" outlineLevel="0" collapsed="false">
      <c r="A24" s="35" t="s">
        <v>65</v>
      </c>
    </row>
    <row r="25" customFormat="false" ht="27.75" hidden="false" customHeight="true" outlineLevel="0" collapsed="false">
      <c r="A25" s="34"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2026-08-24T09:01:15Z</dcterms:created>
  <dc:creator>openpyxl</dc:creator>
  <dc:description/>
  <dc:language>en-US</dc:language>
  <cp:lastModifiedBy/>
  <dcterms:modified xsi:type="dcterms:W3CDTF">2026-08-24T09:01:46Z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