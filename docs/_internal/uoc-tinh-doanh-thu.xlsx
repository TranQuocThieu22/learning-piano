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ô hình" sheetId="1" state="visible" r:id="rId3"/>
    <sheet name="Đòn bẩy" sheetId="2" state="visible" r:id="rId4"/>
    <sheet name="Thuê bao" sheetId="3" state="visible" r:id="rId5"/>
    <sheet name="Ghi chú"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<sst xmlns="http://schemas.openxmlformats.org/spreadsheetml/2006/main" count="142" uniqueCount="142">
  <si>
    <t xml:space="preserve">Ước tính doanh thu hàng tháng — Gói Nền tảng 399.000đ</t>
  </si>
  <si>
    <t xml:space="preserve">Đây KHÔNG phải dự báo. Đây là mô hình để bạn thay giả định bằng số đo thật.</t>
  </si>
  <si>
    <t xml:space="preserve">GIẢ ĐỊNH &amp; KẾT QUẢ</t>
  </si>
  <si>
    <t xml:space="preserve">Thận trọng</t>
  </si>
  <si>
    <t xml:space="preserve">Cơ sở</t>
  </si>
  <si>
    <t xml:space="preserve">Lạc quan</t>
  </si>
  <si>
    <t xml:space="preserve">Cột Lạc quan xếp chồng cả 4 giả định tốt nhất cùng lúc — trên thực tế chúng rất hiếm khi cùng xảy ra. Đừng coi nó là mục tiêu.</t>
  </si>
  <si>
    <t xml:space="preserve">① Lượt truy cập web mỗi tháng</t>
  </si>
  <si>
    <t xml:space="preserve">Đo bằng Vercel Analytics. Lượt truy cập ≠ người đăng ký.</t>
  </si>
  <si>
    <t xml:space="preserve">② Tỷ lệ truy cập → tạo tài khoản Google</t>
  </si>
  <si>
    <t xml:space="preserve">Đo bằng số hàng trong bảng user chia cho lượt truy cập.</t>
  </si>
  <si>
    <t xml:space="preserve">Người đăng ký mới / tháng</t>
  </si>
  <si>
    <t xml:space="preserve">③ Tỷ lệ đăng ký → học hết Chương 1 (chạm paywall)</t>
  </si>
  <si>
    <t xml:space="preserve">BƯỚC QUYẾT ĐỊNH. Đo bằng bảng lesson_completion: bao nhiêu user tick đủ bài Chương 1.</t>
  </si>
  <si>
    <t xml:space="preserve">Số người thật sự chạm paywall / tháng</t>
  </si>
  <si>
    <t xml:space="preserve">④ Tỷ lệ chạm paywall → mua</t>
  </si>
  <si>
    <t xml:space="preserve">Chỉ áp cho người ĐÃ chạm paywall, không áp cho tổng người đăng ký.</t>
  </si>
  <si>
    <t xml:space="preserve">Số đơn hàng / tháng</t>
  </si>
  <si>
    <t xml:space="preserve">⑤ Giá bán một gói</t>
  </si>
  <si>
    <t xml:space="preserve">Giá ra mắt theo tài liệu định hướng. Tăng lên ~599k khi Giai đoạn 2 xong.</t>
  </si>
  <si>
    <t xml:space="preserve">Doanh thu gộp / tháng</t>
  </si>
  <si>
    <t xml:space="preserve">TRỪ ĐI CÁC KHOẢN THẤT THOÁT</t>
  </si>
  <si>
    <t xml:space="preserve">⑥ Phí cổng thanh toán</t>
  </si>
  <si>
    <t xml:space="preserve">MoMo/VNPay/Payos thường 1,5-3%. Thu QR thủ công thì để 0%.</t>
  </si>
  <si>
    <t xml:space="preserve">⑦ Tỷ lệ hoàn tiền (chính sách 7 ngày)</t>
  </si>
  <si>
    <t xml:space="preserve">Khóa học online thường 3-10%.</t>
  </si>
  <si>
    <t xml:space="preserve">Doanh thu thuần / tháng</t>
  </si>
  <si>
    <t xml:space="preserve">CHI PHÍ CỐ ĐỊNH HÀNG THÁNG</t>
  </si>
  <si>
    <t xml:space="preserve">⑧ Vercel Pro (bắt buộc khi thương mại)</t>
  </si>
  <si>
    <t xml:space="preserve">20 USD/tháng. Gói Hobby cấm dùng thương mại.</t>
  </si>
  <si>
    <t xml:space="preserve">⑨ Database (Neon / Vercel Postgres)</t>
  </si>
  <si>
    <t xml:space="preserve">Gói free đủ cho vài trăm người; lên Launch ~19 USD khi đông.</t>
  </si>
  <si>
    <t xml:space="preserve">⑩ Tên miền (chia đều theo tháng)</t>
  </si>
  <si>
    <t xml:space="preserve">~350k/năm.</t>
  </si>
  <si>
    <t xml:space="preserve">⑪ Chi phí quảng cáo / nội dung</t>
  </si>
  <si>
    <t xml:space="preserve">Để 0 nếu chỉ dùng kênh miễn phí. Đây là biến bạn chủ động nhất.</t>
  </si>
  <si>
    <t xml:space="preserve">Tổng chi phí cố định</t>
  </si>
  <si>
    <t xml:space="preserve">⑫ Thuế hộ kinh doanh (5% GTGT + 2% TNCN)</t>
  </si>
  <si>
    <t xml:space="preserve">Áp trên doanh thu, không phải trên lợi nhuận. Miễn nếu doanh thu năm dưới ngưỡng — hỏi kế toán.</t>
  </si>
  <si>
    <t xml:space="preserve">Số thuế phải nộp</t>
  </si>
  <si>
    <t xml:space="preserve">CÒN LẠI TRONG TÚI / THÁNG</t>
  </si>
  <si>
    <t xml:space="preserve">Quy đổi: mỗi lượt truy cập đáng giá bao nhiêu</t>
  </si>
  <si>
    <t xml:space="preserve">Con số này giúp bạn biết trả bao nhiêu cho một lượt click quảng cáo thì còn lãi.</t>
  </si>
  <si>
    <t xml:space="preserve">Số đơn tối thiểu để hòa vốn / tháng</t>
  </si>
  <si>
    <t xml:space="preserve">Bán được ít hơn số này là đang bù lỗ.</t>
  </si>
  <si>
    <t xml:space="preserve">BẢNG ĐỘ NHẠY — Doanh thu thuần/tháng (giữ nguyên cột Cơ sở, chỉ đổi 2 biến)</t>
  </si>
  <si>
    <t xml:space="preserve">Lượt truy cập ↓ / Tỷ lệ chạm paywall → mua →</t>
  </si>
  <si>
    <t xml:space="preserve">Ô vàng chữ xanh = bạn sửa. Ô xám/xanh lá = công thức tự tính, đừng gõ đè.</t>
  </si>
  <si>
    <t xml:space="preserve">So sánh đòn bẩy — thay đổi nào làm lợi nhuận tăng nhiều nhất?</t>
  </si>
  <si>
    <t xml:space="preserve">Mỗi dòng là một phương án. Chỉ những ô vàng thay đổi so với dòng 'Cơ sở'. Phí, hoàn tiền, thuế lấy từ sheet Mô hình.</t>
  </si>
  <si>
    <t xml:space="preserve">Phương án</t>
  </si>
  <si>
    <t xml:space="preserve">Lượt truy cập</t>
  </si>
  <si>
    <t xml:space="preserve">% tạo TK</t>
  </si>
  <si>
    <t xml:space="preserve">% hết Ch.1</t>
  </si>
  <si>
    <t xml:space="preserve">% mua</t>
  </si>
  <si>
    <t xml:space="preserve">Giá bán</t>
  </si>
  <si>
    <t xml:space="preserve">Doanh thu thêm / khách</t>
  </si>
  <si>
    <t xml:space="preserve">Chi phí cố định</t>
  </si>
  <si>
    <t xml:space="preserve">Số đơn/tháng</t>
  </si>
  <si>
    <t xml:space="preserve">Doanh thu thuần</t>
  </si>
  <si>
    <t xml:space="preserve">CÒN LẠI</t>
  </si>
  <si>
    <t xml:space="preserve">So với Cơ sở</t>
  </si>
  <si>
    <t xml:space="preserve">Cơ sở — giữ nguyên mọi thứ</t>
  </si>
  <si>
    <t xml:space="preserve">A. Tăng giá lên 599k, chuyển đổi giữ nguyên</t>
  </si>
  <si>
    <t xml:space="preserve">B. Tăng giá lên 599k, chuyển đổi giảm 25%</t>
  </si>
  <si>
    <t xml:space="preserve">C. Sản phẩm giữ chân tốt hơn: hết Ch.1 25%→40%</t>
  </si>
  <si>
    <t xml:space="preserve">D. Bán thêm Giai đoạn 3 (599k) cho 30% khách cũ</t>
  </si>
  <si>
    <t xml:space="preserve">E. Gói kèm nhận xét 1-1 (10% khách mua thêm 1tr)</t>
  </si>
  <si>
    <t xml:space="preserve">F. Cắt hết quảng cáo, lưu lượng giảm 30%</t>
  </si>
  <si>
    <t xml:space="preserve">G. Tăng gấp đôi lưu lượng bằng quảng cáo 3tr</t>
  </si>
  <si>
    <t xml:space="preserve">H. Kết hợp A + C + D</t>
  </si>
  <si>
    <t xml:space="preserve">Đọc bảng này thế nào</t>
  </si>
  <si>
    <t xml:space="preserve">• Cột 'CÒN LẠI' đã trừ phí cổng, hoàn tiền, chi phí cố định và thuế 7%.</t>
  </si>
  <si>
    <t xml:space="preserve">• 'Doanh thu thêm / khách' là tiền trung bình mỗi khách chi thêm ngoài gói Nền tảng, tính bình quân trên TOÀN BỘ khách (kể cả người không mua thêm).</t>
  </si>
  <si>
    <t xml:space="preserve">• Phương án B mô phỏng việc tăng giá làm mất khách: giá +50% nhưng tỷ lệ mua tụt từ 22% xuống 16,5%.</t>
  </si>
  <si>
    <t xml:space="preserve">• Phương án E cộng thêm 200k chi phí cố định vì nhận xét 1-1 tốn thời gian thật của bạn — con số này nên tăng nếu bạn quy giờ ra tiền.</t>
  </si>
  <si>
    <t xml:space="preserve">• Phương án G cho thấy quảng cáo chỉ có lãi khi chi phí mỗi lượt truy cập thấp hơn dòng 'mỗi lượt truy cập đáng giá bao nhiêu' ở sheet Mô hình.</t>
  </si>
  <si>
    <t xml:space="preserve">Mua đứt hay Thuê bao năm (kèm sheet nhạc định kỳ)?</t>
  </si>
  <si>
    <t xml:space="preserve">Thuê bao chỉ hợp lý khi nội dung sinh thêm liên tục. Sheet nhạc định kỳ đúng là loại đó — nên phép so sánh này mới có nghĩa.</t>
  </si>
  <si>
    <t xml:space="preserve">GIẢ ĐỊNH CHUNG</t>
  </si>
  <si>
    <t xml:space="preserve">Giá trị</t>
  </si>
  <si>
    <t xml:space="preserve">Số người chạm paywall mỗi tháng</t>
  </si>
  <si>
    <t xml:space="preserve">Lấy từ sheet Mô hình, cột Cơ sở.</t>
  </si>
  <si>
    <t xml:space="preserve">Tỷ lệ mua — bán đứt 399k</t>
  </si>
  <si>
    <t xml:space="preserve">Cột Cơ sở ở sheet Mô hình.</t>
  </si>
  <si>
    <t xml:space="preserve">Tỷ lệ mua — thuê bao năm</t>
  </si>
  <si>
    <t xml:space="preserve">QUAN TRỌNG: người ta ngại cam kết định kỳ hơn. Đặt thấp hơn dòng trên.</t>
  </si>
  <si>
    <t xml:space="preserve">Giá bán đứt</t>
  </si>
  <si>
    <t xml:space="preserve">Giá gói năm</t>
  </si>
  <si>
    <t xml:space="preserve">~50k/tháng. Cao hơn nữa thì phải so với app quốc tế.</t>
  </si>
  <si>
    <t xml:space="preserve">Tỷ lệ gia hạn sau mỗi năm</t>
  </si>
  <si>
    <t xml:space="preserve">BIẾN QUYẾT ĐỊNH. Sản phẩm học tập thường 20-40%. Chưa có số thật thì đừng đặt cao.</t>
  </si>
  <si>
    <t xml:space="preserve">Chi phí sản xuất sheet nhạc mỗi tháng</t>
  </si>
  <si>
    <t xml:space="preserve">Thời gian soạn + biên tập + phí bản quyền. Đây là nghĩa vụ VĨNH VIỄN.</t>
  </si>
  <si>
    <t xml:space="preserve">Chi phí cố định khác / tháng</t>
  </si>
  <si>
    <t xml:space="preserve">Hạ tầng + quảng cáo, lấy từ cột Cơ sở.</t>
  </si>
  <si>
    <t xml:space="preserve">SO SÁNH</t>
  </si>
  <si>
    <t xml:space="preserve">Mua đứt 399k</t>
  </si>
  <si>
    <t xml:space="preserve">Thuê bao năm 599k</t>
  </si>
  <si>
    <t xml:space="preserve">Khách mới mỗi tháng</t>
  </si>
  <si>
    <t xml:space="preserve">Doanh thu thuần / tháng — NĂM ĐẦU</t>
  </si>
  <si>
    <t xml:space="preserve">Năm đầu chưa có ai gia hạn.</t>
  </si>
  <si>
    <t xml:space="preserve">Doanh thu thuần / tháng — TRẠNG THÁI ỔN ĐỊNH</t>
  </si>
  <si>
    <t xml:space="preserve">Phải mất khoảng 3-4 năm mới tới được mức này.</t>
  </si>
  <si>
    <t xml:space="preserve">Số người đang trả tiền (ổn định)</t>
  </si>
  <si>
    <t xml:space="preserve">—</t>
  </si>
  <si>
    <t xml:space="preserve">Mua đứt không có khái niệm này.</t>
  </si>
  <si>
    <t xml:space="preserve">Giá trị vòng đời mỗi khách (LTV)</t>
  </si>
  <si>
    <t xml:space="preserve">Chi phí cố định / tháng</t>
  </si>
  <si>
    <t xml:space="preserve">Thuê bao gánh thêm chi phí sản xuất sheet mãi mãi.</t>
  </si>
  <si>
    <t xml:space="preserve">CÒN LẠI / THÁNG — năm đầu</t>
  </si>
  <si>
    <t xml:space="preserve">CÒN LẠI / THÁNG — ổn định</t>
  </si>
  <si>
    <t xml:space="preserve">Tỷ lệ gia hạn TỐI THIỂU để thuê bao thắng mua đứt</t>
  </si>
  <si>
    <t xml:space="preserve">Đây là mức gia hạn tối thiểu để thuê bao đem lại lợi nhuận BẰNG mua đứt, sau khi đã trừ chi phí sản xuất sheet.</t>
  </si>
  <si>
    <t xml:space="preserve">Doanh thu ổn định cần có để bù chi phí sản xuất sheet</t>
  </si>
  <si>
    <t xml:space="preserve">Nếu doanh thu tăng thêm nhờ thuê bao không vượt con số này thì bạn đang làm không công.</t>
  </si>
  <si>
    <t xml:space="preserve">ĐỘ NHẠY — 'Còn lại/tháng ở trạng thái ổn định' của gói thuê bao</t>
  </si>
  <si>
    <t xml:space="preserve">Tỷ lệ gia hạn ↓ / Tỷ lệ mua thuê bao →</t>
  </si>
  <si>
    <t xml:space="preserve">Điều kiện để thuê bao là quyết định đúng</t>
  </si>
  <si>
    <t xml:space="preserve">1. Bạn phải thật sự ra sheet mới ĐỀU ĐẶN, mãi mãi. Khách trả tiền cho dòng chảy, không phải cho kho. Tháng nào không ra bài là tháng đó mất uy tín.</t>
  </si>
  <si>
    <t xml:space="preserve">2. Bản quyền. Phối và bán sheet của ca khúc còn bảo hộ mà chưa xin phép là xâm phạm quyền tác giả — ở Việt Nam liên hệ VCPMC. An toàn tuyệt đối: dân ca, nhạc hết thời hạn bảo hộ, và sáng tác của chính bạn.</t>
  </si>
  <si>
    <t xml:space="preserve">3. Trả trước cả năm là một khoản NỢ, không phải doanh thu đã kiếm được. Bạn đang bán trước 12 tháng lao động của mình.</t>
  </si>
  <si>
    <t xml:space="preserve">4. Bảng độ nhạy cho thấy: khi tỷ lệ mua tụt xuống 8-10% thì dù gia hạn có tốt tới đâu cũng không cứu được. Số người trả tiền quan trọng hơn tỷ lệ gia hạn.</t>
  </si>
  <si>
    <t xml:space="preserve">Đọc cái này trước khi tin bất kỳ con số nào</t>
  </si>
  <si>
    <t xml:space="preserve">1. Không con số nào ở đây là dự báo.</t>
  </si>
  <si>
    <t xml:space="preserve">   Mọi ô vàng là giả định do mình đặt tạm để mô hình chạy được. Chúng chưa được kiểm chứng bằng doanh số thật của bạn, cũng không phải số liệu ngành. Ba kịch bản Thận trọng / Cơ sở / Lạc quan chỉ là ba cách nhìn, không phải xác suất.</t>
  </si>
  <si>
    <t xml:space="preserve">2. Biến quyết định là ③ — tỷ lệ học hết Chương 1.</t>
  </si>
  <si>
    <t xml:space="preserve">   Đây là chỗ hầu hết mô hình doanh thu khóa học bị sai. Người ta lấy 'số người đăng ký × 2-3% chuyển đổi freemium' — nhưng con số 2-3% đó trích từ phần mềm mà bản miễn phí dùng được ngay. Khóa piano thì người học phải tập đều 3-5 ngày mới CHẠM tới paywall. Phần lớn người đăng ký sẽ bỏ ở tuần thứ hai và không bao giờ nhìn thấy trang mua hàng.</t>
  </si>
  <si>
    <t xml:space="preserve">   Nếu tỷ lệ này là 12% thay vì 40%, doanh thu chênh nhau hơn ba lần — trong khi mọi biến khác giữ nguyên. Không có việc gì đáng làm hơn là đo nó.</t>
  </si>
  <si>
    <t xml:space="preserve">3. Cách đo bằng chính dữ liệu bạn đang có.</t>
  </si>
  <si>
    <t xml:space="preserve">   ② = số hàng trong bảng user ÷ lượt truy cập (Vercel Analytics).</t>
  </si>
  <si>
    <t xml:space="preserve">   ③ = số user có đủ bản ghi lesson_completion cho các bài Chương 1 ÷ tổng số user.</t>
  </si>
  <si>
    <t xml:space="preserve">   Bảng lesson_completion đã ghi sẵn completed_at, nên bạn còn đo được cả thời gian trung bình từ lúc đăng ký đến lúc chạm paywall — con số đó cho biết dòng tiền về nhanh hay chậm.</t>
  </si>
  <si>
    <t xml:space="preserve">   ④ chỉ đo được sau khi thật sự mở bán.</t>
  </si>
  <si>
    <t xml:space="preserve">4. Doanh thu tháng đầu không lặp lại được.</t>
  </si>
  <si>
    <t xml:space="preserve">   Mua đứt nghĩa là mỗi khách trả tiền đúng một lần. Doanh thu tháng này = số người MỚI đi hết Chương 1 tháng này. Không có phần thu định kỳ nào cộng dồn. Vì vậy đợt ra mắt thường có một đỉnh (những người đã theo dõi sẵn) rồi tụt xuống mặt bằng thấp hơn nhiều — đừng lấy tháng đầu nhân 12.</t>
  </si>
  <si>
    <t xml:space="preserve">5. Những gì mô hình này CỐ TÌNH không tính.</t>
  </si>
  <si>
    <t xml:space="preserve">   Công sức của bạn: soạn nội dung, trả lời người học, sửa lỗi. Nếu quy ra giờ, phần 'còn lại trong túi' sẽ nhỏ đi đáng kể.</t>
  </si>
  <si>
    <t xml:space="preserve">   Doanh thu Giai đoạn 3-4: chưa soạn thì chưa được tính vào.</t>
  </si>
  <si>
    <t xml:space="preserve">   Rủi ro sao chép nội dung: khóa học dạng chữ bị chụp màn hình phát tán là rất dễ. Đây là lập luận mạnh nhất cho việc ưu tiên Web MIDI.</t>
  </si>
  <si>
    <t xml:space="preserve">6. Thứ tự việc cần làm vẫn không đổi.</t>
  </si>
  <si>
    <t xml:space="preserve">   Chương 5, 6 và Giai đoạn 2 phải xong trước khi thu tiền. Mô hình này chỉ để bạn biết cần bao nhiêu người mới đủ bù chi phí — không phải tín hiệu để mở bán sớm.</t>
  </si>
</sst>
</file>

<file path=xl/styles.xml><?xml version="1.0" encoding="utf-8"?>
<styleSheet xmlns="http://schemas.openxmlformats.org/spreadsheetml/2006/main">
  <numFmts count="7">
    <numFmt numFmtId="164" formatCode="General"/>
    <numFmt numFmtId="165" formatCode="#,##0"/>
    <numFmt numFmtId="166" formatCode="0.0%"/>
    <numFmt numFmtId="167" formatCode="#,##0&quot; đ&quot;"/>
    <numFmt numFmtId="168" formatCode="#,##0.0"/>
    <numFmt numFmtId="169" formatCode="0%"/>
    <numFmt numFmtId="170" formatCode="\+0%;\-0%;0%"/>
  </numFmts>
  <fonts count="16">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i val="true"/>
      <sz val="11"/>
      <color rgb="FFC00000"/>
      <name val="Cambria"/>
      <family val="0"/>
      <charset val="1"/>
    </font>
    <font>
      <b val="true"/>
      <sz val="11"/>
      <color rgb="FFFFFFFF"/>
      <name val="Cambria"/>
      <family val="0"/>
      <charset val="1"/>
    </font>
    <font>
      <sz val="9"/>
      <color rgb="FFC00000"/>
      <name val="Cambria"/>
      <family val="0"/>
      <charset val="1"/>
    </font>
    <font>
      <sz val="11"/>
      <color rgb="FF0000FF"/>
      <name val="Cambria"/>
      <family val="0"/>
      <charset val="1"/>
    </font>
    <font>
      <sz val="9"/>
      <color rgb="FF808080"/>
      <name val="Cambria"/>
      <family val="0"/>
      <charset val="1"/>
    </font>
    <font>
      <sz val="11"/>
      <color rgb="FF000000"/>
      <name val="Cambria"/>
      <family val="0"/>
      <charset val="1"/>
    </font>
    <font>
      <b val="true"/>
      <sz val="11"/>
      <name val="Cambria"/>
      <family val="0"/>
      <charset val="1"/>
    </font>
    <font>
      <b val="true"/>
      <sz val="12"/>
      <name val="Cambria"/>
      <family val="0"/>
      <charset val="1"/>
    </font>
    <font>
      <b val="true"/>
      <sz val="9"/>
      <name val="Cambria"/>
      <family val="0"/>
      <charset val="1"/>
    </font>
    <font>
      <i val="true"/>
      <sz val="11"/>
      <color rgb="FF808080"/>
      <name val="Cambria"/>
      <family val="0"/>
      <charset val="1"/>
    </font>
    <font>
      <sz val="11"/>
      <name val="Cambria"/>
      <family val="0"/>
      <charset val="1"/>
    </font>
  </fonts>
  <fills count="6">
    <fill>
      <patternFill patternType="none"/>
    </fill>
    <fill>
      <patternFill patternType="gray125"/>
    </fill>
    <fill>
      <patternFill patternType="solid">
        <fgColor rgb="FF2F5597"/>
        <bgColor rgb="FF666699"/>
      </patternFill>
    </fill>
    <fill>
      <patternFill patternType="solid">
        <fgColor rgb="FFFFF2CC"/>
        <bgColor rgb="FFF2F2F2"/>
      </patternFill>
    </fill>
    <fill>
      <patternFill patternType="solid">
        <fgColor rgb="FFF2F2F2"/>
        <bgColor rgb="FFE2EFDA"/>
      </patternFill>
    </fill>
    <fill>
      <patternFill patternType="solid">
        <fgColor rgb="FFE2EFDA"/>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left"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5" fontId="8" fillId="3"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6" fontId="8" fillId="3" borderId="1" xfId="0" applyFont="true" applyBorder="tru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5" fontId="10" fillId="4" borderId="1" xfId="0" applyFont="true" applyBorder="true" applyAlignment="true" applyProtection="false">
      <alignment horizontal="general" vertical="bottom" textRotation="0" wrapText="false" indent="0" shrinkToFit="false"/>
      <protection locked="true" hidden="false"/>
    </xf>
    <xf numFmtId="164" fontId="11" fillId="5" borderId="0" xfId="0" applyFont="true" applyBorder="false" applyAlignment="true" applyProtection="false">
      <alignment horizontal="general" vertical="bottom" textRotation="0" wrapText="false" indent="0" shrinkToFit="false"/>
      <protection locked="true" hidden="false"/>
    </xf>
    <xf numFmtId="165" fontId="11" fillId="5" borderId="1" xfId="0" applyFont="true" applyBorder="true" applyAlignment="true" applyProtection="false">
      <alignment horizontal="general" vertical="bottom" textRotation="0" wrapText="false" indent="0" shrinkToFit="false"/>
      <protection locked="true" hidden="false"/>
    </xf>
    <xf numFmtId="167" fontId="8" fillId="3" borderId="1" xfId="0" applyFont="true" applyBorder="true" applyAlignment="true" applyProtection="false">
      <alignment horizontal="general" vertical="bottom" textRotation="0" wrapText="false" indent="0" shrinkToFit="false"/>
      <protection locked="true" hidden="false"/>
    </xf>
    <xf numFmtId="164" fontId="11" fillId="4" borderId="0" xfId="0" applyFont="true" applyBorder="false" applyAlignment="true" applyProtection="false">
      <alignment horizontal="general" vertical="bottom" textRotation="0" wrapText="false" indent="0" shrinkToFit="false"/>
      <protection locked="true" hidden="false"/>
    </xf>
    <xf numFmtId="167" fontId="11" fillId="4"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0" fillId="2" borderId="1" xfId="0" applyFont="false" applyBorder="true" applyAlignment="true" applyProtection="false">
      <alignment horizontal="general" vertical="bottom" textRotation="0" wrapText="false" indent="0" shrinkToFit="false"/>
      <protection locked="true" hidden="false"/>
    </xf>
    <xf numFmtId="167" fontId="11" fillId="5" borderId="1" xfId="0" applyFont="true" applyBorder="true" applyAlignment="true" applyProtection="false">
      <alignment horizontal="general" vertical="bottom" textRotation="0" wrapText="false" indent="0" shrinkToFit="false"/>
      <protection locked="true" hidden="false"/>
    </xf>
    <xf numFmtId="167" fontId="10" fillId="4" borderId="1" xfId="0" applyFont="true" applyBorder="true" applyAlignment="true" applyProtection="false">
      <alignment horizontal="general" vertical="bottom" textRotation="0" wrapText="false" indent="0" shrinkToFit="false"/>
      <protection locked="true" hidden="false"/>
    </xf>
    <xf numFmtId="164" fontId="12" fillId="5" borderId="0" xfId="0" applyFont="true" applyBorder="false" applyAlignment="true" applyProtection="false">
      <alignment horizontal="general" vertical="bottom" textRotation="0" wrapText="false" indent="0" shrinkToFit="false"/>
      <protection locked="true" hidden="false"/>
    </xf>
    <xf numFmtId="167" fontId="12" fillId="5" borderId="1"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7" fontId="10" fillId="0" borderId="1"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9" fontId="6" fillId="2" borderId="1" xfId="0" applyFont="true" applyBorder="true" applyAlignment="true" applyProtection="false">
      <alignment horizontal="center" vertical="bottom" textRotation="0" wrapText="false" indent="0" shrinkToFit="false"/>
      <protection locked="true" hidden="false"/>
    </xf>
    <xf numFmtId="165" fontId="6" fillId="2" borderId="1" xfId="0" applyFont="true" applyBorder="true" applyAlignment="true" applyProtection="false">
      <alignment horizontal="general" vertical="bottom" textRotation="0" wrapText="false" indent="0" shrinkToFit="false"/>
      <protection locked="true" hidden="false"/>
    </xf>
    <xf numFmtId="167" fontId="0" fillId="0" borderId="1" xfId="0" applyFont="false" applyBorder="tru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true" applyProtection="false">
      <alignment horizontal="general" vertical="bottom" textRotation="0" wrapText="false" indent="0" shrinkToFit="false"/>
      <protection locked="true" hidden="false"/>
    </xf>
    <xf numFmtId="169" fontId="10" fillId="4" borderId="1" xfId="0" applyFont="true" applyBorder="true" applyAlignment="true" applyProtection="false">
      <alignment horizontal="general" vertical="bottom" textRotation="0" wrapText="false" indent="0" shrinkToFit="false"/>
      <protection locked="true" hidden="false"/>
    </xf>
    <xf numFmtId="168" fontId="0" fillId="4" borderId="1" xfId="0" applyFont="false" applyBorder="true" applyAlignment="true" applyProtection="false">
      <alignment horizontal="general" vertical="bottom" textRotation="0" wrapText="false" indent="0" shrinkToFit="false"/>
      <protection locked="true" hidden="false"/>
    </xf>
    <xf numFmtId="167" fontId="0" fillId="4" borderId="1" xfId="0" applyFont="false" applyBorder="true" applyAlignment="true" applyProtection="false">
      <alignment horizontal="general" vertical="bottom" textRotation="0" wrapText="false" indent="0" shrinkToFit="false"/>
      <protection locked="true" hidden="false"/>
    </xf>
    <xf numFmtId="170" fontId="0" fillId="4" borderId="1" xfId="0" applyFont="fals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9" fontId="8" fillId="3" borderId="1" xfId="0" applyFont="true" applyBorder="true" applyAlignment="true" applyProtection="false">
      <alignment horizontal="general" vertical="bottom" textRotation="0" wrapText="false" indent="0" shrinkToFit="false"/>
      <protection locked="true" hidden="false"/>
    </xf>
    <xf numFmtId="168" fontId="0" fillId="5" borderId="1" xfId="0" applyFont="false" applyBorder="true" applyAlignment="true" applyProtection="false">
      <alignment horizontal="general" vertical="bottom" textRotation="0" wrapText="false" indent="0" shrinkToFit="false"/>
      <protection locked="true" hidden="false"/>
    </xf>
    <xf numFmtId="167" fontId="0" fillId="5" borderId="1" xfId="0" applyFont="false" applyBorder="true" applyAlignment="true" applyProtection="false">
      <alignment horizontal="general" vertical="bottom" textRotation="0" wrapText="false" indent="0" shrinkToFit="false"/>
      <protection locked="true" hidden="false"/>
    </xf>
    <xf numFmtId="170" fontId="0" fillId="5" borderId="1" xfId="0" applyFont="fals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0" fillId="4" borderId="1" xfId="0" applyFont="true" applyBorder="true" applyAlignment="true" applyProtection="false">
      <alignment horizontal="center" vertical="bottom" textRotation="0" wrapText="false" indent="0" shrinkToFit="false"/>
      <protection locked="true" hidden="false"/>
    </xf>
    <xf numFmtId="165" fontId="0" fillId="4" borderId="1" xfId="0" applyFont="false" applyBorder="true" applyAlignment="true" applyProtection="false">
      <alignment horizontal="general" vertical="bottom" textRotation="0" wrapText="false" indent="0" shrinkToFit="false"/>
      <protection locked="true" hidden="false"/>
    </xf>
    <xf numFmtId="169" fontId="11" fillId="5" borderId="1" xfId="0" applyFont="true" applyBorder="true" applyAlignment="true" applyProtection="false">
      <alignment horizontal="general" vertical="bottom" textRotation="0" wrapText="false" indent="0" shrinkToFit="false"/>
      <protection locked="true" hidden="false"/>
    </xf>
    <xf numFmtId="169" fontId="6" fillId="2" borderId="1"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559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7" min="2" style="1" width="16"/>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5" t="s">
        <v>3</v>
      </c>
      <c r="C4" s="5" t="s">
        <v>4</v>
      </c>
      <c r="D4" s="5" t="s">
        <v>5</v>
      </c>
      <c r="E4" s="6" t="s">
        <v>6</v>
      </c>
    </row>
    <row r="5" customFormat="false" ht="15" hidden="false" customHeight="true" outlineLevel="0" collapsed="false">
      <c r="A5" s="7" t="s">
        <v>7</v>
      </c>
      <c r="B5" s="8" t="n">
        <v>800</v>
      </c>
      <c r="C5" s="8" t="n">
        <v>3000</v>
      </c>
      <c r="D5" s="8" t="n">
        <v>8000</v>
      </c>
      <c r="E5" s="9" t="s">
        <v>8</v>
      </c>
    </row>
    <row r="6" customFormat="false" ht="15" hidden="false" customHeight="true" outlineLevel="0" collapsed="false">
      <c r="A6" s="7" t="s">
        <v>9</v>
      </c>
      <c r="B6" s="10" t="n">
        <v>0.04</v>
      </c>
      <c r="C6" s="10" t="n">
        <v>0.07</v>
      </c>
      <c r="D6" s="10" t="n">
        <v>0.12</v>
      </c>
      <c r="E6" s="9" t="s">
        <v>10</v>
      </c>
    </row>
    <row r="7" customFormat="false" ht="15" hidden="false" customHeight="true" outlineLevel="0" collapsed="false">
      <c r="A7" s="11" t="s">
        <v>11</v>
      </c>
      <c r="B7" s="12" t="n">
        <f aca="false">B5*B6</f>
        <v>32</v>
      </c>
      <c r="C7" s="12" t="n">
        <f aca="false">C5*C6</f>
        <v>210</v>
      </c>
      <c r="D7" s="12" t="n">
        <f aca="false">D5*D6</f>
        <v>960</v>
      </c>
    </row>
    <row r="8" customFormat="false" ht="15" hidden="false" customHeight="true" outlineLevel="0" collapsed="false">
      <c r="A8" s="7" t="s">
        <v>12</v>
      </c>
      <c r="B8" s="10" t="n">
        <v>0.12</v>
      </c>
      <c r="C8" s="10" t="n">
        <v>0.25</v>
      </c>
      <c r="D8" s="10" t="n">
        <v>0.4</v>
      </c>
      <c r="E8" s="9" t="s">
        <v>13</v>
      </c>
    </row>
    <row r="9" customFormat="false" ht="15" hidden="false" customHeight="true" outlineLevel="0" collapsed="false">
      <c r="A9" s="11" t="s">
        <v>14</v>
      </c>
      <c r="B9" s="12" t="n">
        <f aca="false">B7*B8</f>
        <v>3.84</v>
      </c>
      <c r="C9" s="12" t="n">
        <f aca="false">C7*C8</f>
        <v>52.5</v>
      </c>
      <c r="D9" s="12" t="n">
        <f aca="false">D7*D8</f>
        <v>384</v>
      </c>
    </row>
    <row r="10" customFormat="false" ht="15" hidden="false" customHeight="true" outlineLevel="0" collapsed="false">
      <c r="A10" s="7" t="s">
        <v>15</v>
      </c>
      <c r="B10" s="10" t="n">
        <v>0.12</v>
      </c>
      <c r="C10" s="10" t="n">
        <v>0.22</v>
      </c>
      <c r="D10" s="10" t="n">
        <v>0.35</v>
      </c>
      <c r="E10" s="9" t="s">
        <v>16</v>
      </c>
    </row>
    <row r="11" customFormat="false" ht="15" hidden="false" customHeight="true" outlineLevel="0" collapsed="false">
      <c r="A11" s="13" t="s">
        <v>17</v>
      </c>
      <c r="B11" s="14" t="n">
        <f aca="false">B9*B10</f>
        <v>0.4608</v>
      </c>
      <c r="C11" s="14" t="n">
        <f aca="false">C9*C10</f>
        <v>11.55</v>
      </c>
      <c r="D11" s="14" t="n">
        <f aca="false">D9*D10</f>
        <v>134.4</v>
      </c>
    </row>
    <row r="12" customFormat="false" ht="15" hidden="false" customHeight="true" outlineLevel="0" collapsed="false">
      <c r="A12" s="7" t="s">
        <v>18</v>
      </c>
      <c r="B12" s="15" t="n">
        <v>399000</v>
      </c>
      <c r="C12" s="15" t="n">
        <v>399000</v>
      </c>
      <c r="D12" s="15" t="n">
        <v>399000</v>
      </c>
      <c r="E12" s="9" t="s">
        <v>19</v>
      </c>
    </row>
    <row r="13" customFormat="false" ht="15" hidden="false" customHeight="true" outlineLevel="0" collapsed="false">
      <c r="A13" s="16" t="s">
        <v>20</v>
      </c>
      <c r="B13" s="17" t="n">
        <f aca="false">B11*B12</f>
        <v>183859.2</v>
      </c>
      <c r="C13" s="17" t="n">
        <f aca="false">C11*C12</f>
        <v>4608450</v>
      </c>
      <c r="D13" s="17" t="n">
        <f aca="false">D11*D12</f>
        <v>53625600</v>
      </c>
    </row>
    <row r="15" customFormat="false" ht="15" hidden="false" customHeight="true" outlineLevel="0" collapsed="false">
      <c r="A15" s="18" t="s">
        <v>21</v>
      </c>
      <c r="B15" s="19"/>
      <c r="C15" s="19"/>
      <c r="D15" s="19"/>
    </row>
    <row r="16" customFormat="false" ht="15" hidden="false" customHeight="true" outlineLevel="0" collapsed="false">
      <c r="A16" s="7" t="s">
        <v>22</v>
      </c>
      <c r="B16" s="10" t="n">
        <v>0.025</v>
      </c>
      <c r="C16" s="10" t="n">
        <v>0.025</v>
      </c>
      <c r="D16" s="10" t="n">
        <v>0.025</v>
      </c>
      <c r="E16" s="9" t="s">
        <v>23</v>
      </c>
    </row>
    <row r="17" customFormat="false" ht="15" hidden="false" customHeight="true" outlineLevel="0" collapsed="false">
      <c r="A17" s="7" t="s">
        <v>24</v>
      </c>
      <c r="B17" s="10" t="n">
        <v>0.08</v>
      </c>
      <c r="C17" s="10" t="n">
        <v>0.05</v>
      </c>
      <c r="D17" s="10" t="n">
        <v>0.03</v>
      </c>
      <c r="E17" s="9" t="s">
        <v>25</v>
      </c>
    </row>
    <row r="18" customFormat="false" ht="15" hidden="false" customHeight="true" outlineLevel="0" collapsed="false">
      <c r="A18" s="13" t="s">
        <v>26</v>
      </c>
      <c r="B18" s="20" t="n">
        <f aca="false">B13*(1-B16)*(1-B17)</f>
        <v>164921.7024</v>
      </c>
      <c r="C18" s="20" t="n">
        <f aca="false">C13*(1-C16)*(1-C17)</f>
        <v>4268576.8125</v>
      </c>
      <c r="D18" s="20" t="n">
        <f aca="false">D13*(1-D16)*(1-D17)</f>
        <v>50716411.2</v>
      </c>
    </row>
    <row r="20" customFormat="false" ht="15" hidden="false" customHeight="true" outlineLevel="0" collapsed="false">
      <c r="A20" s="18" t="s">
        <v>27</v>
      </c>
      <c r="B20" s="19"/>
      <c r="C20" s="19"/>
      <c r="D20" s="19"/>
    </row>
    <row r="21" customFormat="false" ht="15" hidden="false" customHeight="true" outlineLevel="0" collapsed="false">
      <c r="A21" s="7" t="s">
        <v>28</v>
      </c>
      <c r="B21" s="15" t="n">
        <v>520000</v>
      </c>
      <c r="C21" s="15" t="n">
        <v>520000</v>
      </c>
      <c r="D21" s="15" t="n">
        <v>520000</v>
      </c>
      <c r="E21" s="9" t="s">
        <v>29</v>
      </c>
    </row>
    <row r="22" customFormat="false" ht="15" hidden="false" customHeight="true" outlineLevel="0" collapsed="false">
      <c r="A22" s="7" t="s">
        <v>30</v>
      </c>
      <c r="B22" s="15" t="n">
        <v>0</v>
      </c>
      <c r="C22" s="15" t="n">
        <v>0</v>
      </c>
      <c r="D22" s="15" t="n">
        <v>470000</v>
      </c>
      <c r="E22" s="9" t="s">
        <v>31</v>
      </c>
    </row>
    <row r="23" customFormat="false" ht="15" hidden="false" customHeight="true" outlineLevel="0" collapsed="false">
      <c r="A23" s="7" t="s">
        <v>32</v>
      </c>
      <c r="B23" s="15" t="n">
        <v>30000</v>
      </c>
      <c r="C23" s="15" t="n">
        <v>30000</v>
      </c>
      <c r="D23" s="15" t="n">
        <v>30000</v>
      </c>
      <c r="E23" s="9" t="s">
        <v>33</v>
      </c>
    </row>
    <row r="24" customFormat="false" ht="15" hidden="false" customHeight="true" outlineLevel="0" collapsed="false">
      <c r="A24" s="7" t="s">
        <v>34</v>
      </c>
      <c r="B24" s="15" t="n">
        <v>0</v>
      </c>
      <c r="C24" s="15" t="n">
        <v>1000000</v>
      </c>
      <c r="D24" s="15" t="n">
        <v>3000000</v>
      </c>
      <c r="E24" s="9" t="s">
        <v>35</v>
      </c>
    </row>
    <row r="25" customFormat="false" ht="15" hidden="false" customHeight="true" outlineLevel="0" collapsed="false">
      <c r="A25" s="11" t="s">
        <v>36</v>
      </c>
      <c r="B25" s="21" t="n">
        <f aca="false">SUM(B21:B24)</f>
        <v>550000</v>
      </c>
      <c r="C25" s="21" t="n">
        <f aca="false">SUM(C21:C24)</f>
        <v>1550000</v>
      </c>
      <c r="D25" s="21" t="n">
        <f aca="false">SUM(D21:D24)</f>
        <v>4020000</v>
      </c>
    </row>
    <row r="26" customFormat="false" ht="15" hidden="false" customHeight="true" outlineLevel="0" collapsed="false">
      <c r="A26" s="7" t="s">
        <v>37</v>
      </c>
      <c r="B26" s="10" t="n">
        <v>0.07</v>
      </c>
      <c r="C26" s="10" t="n">
        <v>0.07</v>
      </c>
      <c r="D26" s="10" t="n">
        <v>0.07</v>
      </c>
      <c r="E26" s="9" t="s">
        <v>38</v>
      </c>
    </row>
    <row r="27" customFormat="false" ht="15" hidden="false" customHeight="true" outlineLevel="0" collapsed="false">
      <c r="A27" s="11" t="s">
        <v>39</v>
      </c>
      <c r="B27" s="21" t="n">
        <f aca="false">B18*B26</f>
        <v>11544.519168</v>
      </c>
      <c r="C27" s="21" t="n">
        <f aca="false">C18*C26</f>
        <v>298800.376875</v>
      </c>
      <c r="D27" s="21" t="n">
        <f aca="false">D18*D26</f>
        <v>3550148.784</v>
      </c>
    </row>
    <row r="28" customFormat="false" ht="15" hidden="false" customHeight="true" outlineLevel="0" collapsed="false">
      <c r="A28" s="22" t="s">
        <v>40</v>
      </c>
      <c r="B28" s="23" t="n">
        <f aca="false">B18-B25-B27</f>
        <v>-396622.816768</v>
      </c>
      <c r="C28" s="23" t="n">
        <f aca="false">C18-C25-C27</f>
        <v>2419776.435625</v>
      </c>
      <c r="D28" s="23" t="n">
        <f aca="false">D18-D25-D27</f>
        <v>43146262.416</v>
      </c>
    </row>
    <row r="29" customFormat="false" ht="15" hidden="false" customHeight="true" outlineLevel="0" collapsed="false">
      <c r="A29" s="24" t="s">
        <v>41</v>
      </c>
      <c r="B29" s="25" t="n">
        <f aca="false">IF(B5=0,0,B18/B5)</f>
        <v>206.152128</v>
      </c>
      <c r="C29" s="25" t="n">
        <f aca="false">IF(C5=0,0,C18/C5)</f>
        <v>1422.8589375</v>
      </c>
      <c r="D29" s="25" t="n">
        <f aca="false">IF(D5=0,0,D18/D5)</f>
        <v>6339.5514</v>
      </c>
      <c r="E29" s="9" t="s">
        <v>42</v>
      </c>
    </row>
    <row r="30" customFormat="false" ht="15" hidden="false" customHeight="true" outlineLevel="0" collapsed="false">
      <c r="A30" s="26" t="s">
        <v>43</v>
      </c>
      <c r="B30" s="27" t="n">
        <f aca="false">IF(B13=0,0,B25/(B12*(1-B16)*(1-B17)*(1-B26)))</f>
        <v>1.65239701668431</v>
      </c>
      <c r="C30" s="27" t="n">
        <f aca="false">IF(C13=0,0,C25/(C12*(1-C16)*(1-C17)*(1-C26)))</f>
        <v>4.50969980055853</v>
      </c>
      <c r="D30" s="27" t="n">
        <f aca="false">IF(D13=0,0,D25/(D12*(1-D16)*(1-D17)*(1-D26)))</f>
        <v>11.454967434874</v>
      </c>
      <c r="E30" s="9" t="s">
        <v>44</v>
      </c>
    </row>
    <row r="33" customFormat="false" ht="15" hidden="false" customHeight="true" outlineLevel="0" collapsed="false">
      <c r="A33" s="26" t="s">
        <v>45</v>
      </c>
    </row>
    <row r="34" customFormat="false" ht="15" hidden="false" customHeight="true" outlineLevel="0" collapsed="false">
      <c r="A34" s="28" t="s">
        <v>46</v>
      </c>
      <c r="B34" s="29" t="n">
        <v>0.1</v>
      </c>
      <c r="C34" s="29" t="n">
        <v>0.15</v>
      </c>
      <c r="D34" s="29" t="n">
        <v>0.2</v>
      </c>
      <c r="E34" s="29" t="n">
        <v>0.25</v>
      </c>
      <c r="F34" s="29" t="n">
        <v>0.3</v>
      </c>
      <c r="G34" s="29" t="n">
        <v>0.35</v>
      </c>
    </row>
    <row r="35" customFormat="false" ht="15" hidden="false" customHeight="true" outlineLevel="0" collapsed="false">
      <c r="A35" s="30" t="n">
        <v>500</v>
      </c>
      <c r="B35" s="31" t="n">
        <f aca="false">$A35*$C$6*$C$8*B$34*$C$12*(1-$C$16)*(1-$C$17)</f>
        <v>323377.03125</v>
      </c>
      <c r="C35" s="31" t="n">
        <f aca="false">$A35*$C$6*$C$8*C$34*$C$12*(1-$C$16)*(1-$C$17)</f>
        <v>485065.546875</v>
      </c>
      <c r="D35" s="31" t="n">
        <f aca="false">$A35*$C$6*$C$8*D$34*$C$12*(1-$C$16)*(1-$C$17)</f>
        <v>646754.0625</v>
      </c>
      <c r="E35" s="31" t="n">
        <f aca="false">$A35*$C$6*$C$8*E$34*$C$12*(1-$C$16)*(1-$C$17)</f>
        <v>808442.578125</v>
      </c>
      <c r="F35" s="31" t="n">
        <f aca="false">$A35*$C$6*$C$8*F$34*$C$12*(1-$C$16)*(1-$C$17)</f>
        <v>970131.09375</v>
      </c>
      <c r="G35" s="31" t="n">
        <f aca="false">$A35*$C$6*$C$8*G$34*$C$12*(1-$C$16)*(1-$C$17)</f>
        <v>1131819.609375</v>
      </c>
    </row>
    <row r="36" customFormat="false" ht="15" hidden="false" customHeight="true" outlineLevel="0" collapsed="false">
      <c r="A36" s="30" t="n">
        <v>1000</v>
      </c>
      <c r="B36" s="31" t="n">
        <f aca="false">$A36*$C$6*$C$8*B$34*$C$12*(1-$C$16)*(1-$C$17)</f>
        <v>646754.0625</v>
      </c>
      <c r="C36" s="31" t="n">
        <f aca="false">$A36*$C$6*$C$8*C$34*$C$12*(1-$C$16)*(1-$C$17)</f>
        <v>970131.09375</v>
      </c>
      <c r="D36" s="31" t="n">
        <f aca="false">$A36*$C$6*$C$8*D$34*$C$12*(1-$C$16)*(1-$C$17)</f>
        <v>1293508.125</v>
      </c>
      <c r="E36" s="31" t="n">
        <f aca="false">$A36*$C$6*$C$8*E$34*$C$12*(1-$C$16)*(1-$C$17)</f>
        <v>1616885.15625</v>
      </c>
      <c r="F36" s="31" t="n">
        <f aca="false">$A36*$C$6*$C$8*F$34*$C$12*(1-$C$16)*(1-$C$17)</f>
        <v>1940262.1875</v>
      </c>
      <c r="G36" s="31" t="n">
        <f aca="false">$A36*$C$6*$C$8*G$34*$C$12*(1-$C$16)*(1-$C$17)</f>
        <v>2263639.21875</v>
      </c>
    </row>
    <row r="37" customFormat="false" ht="15" hidden="false" customHeight="true" outlineLevel="0" collapsed="false">
      <c r="A37" s="30" t="n">
        <v>2000</v>
      </c>
      <c r="B37" s="31" t="n">
        <f aca="false">$A37*$C$6*$C$8*B$34*$C$12*(1-$C$16)*(1-$C$17)</f>
        <v>1293508.125</v>
      </c>
      <c r="C37" s="31" t="n">
        <f aca="false">$A37*$C$6*$C$8*C$34*$C$12*(1-$C$16)*(1-$C$17)</f>
        <v>1940262.1875</v>
      </c>
      <c r="D37" s="31" t="n">
        <f aca="false">$A37*$C$6*$C$8*D$34*$C$12*(1-$C$16)*(1-$C$17)</f>
        <v>2587016.25</v>
      </c>
      <c r="E37" s="31" t="n">
        <f aca="false">$A37*$C$6*$C$8*E$34*$C$12*(1-$C$16)*(1-$C$17)</f>
        <v>3233770.3125</v>
      </c>
      <c r="F37" s="31" t="n">
        <f aca="false">$A37*$C$6*$C$8*F$34*$C$12*(1-$C$16)*(1-$C$17)</f>
        <v>3880524.375</v>
      </c>
      <c r="G37" s="31" t="n">
        <f aca="false">$A37*$C$6*$C$8*G$34*$C$12*(1-$C$16)*(1-$C$17)</f>
        <v>4527278.4375</v>
      </c>
    </row>
    <row r="38" customFormat="false" ht="15" hidden="false" customHeight="true" outlineLevel="0" collapsed="false">
      <c r="A38" s="30" t="n">
        <v>3000</v>
      </c>
      <c r="B38" s="31" t="n">
        <f aca="false">$A38*$C$6*$C$8*B$34*$C$12*(1-$C$16)*(1-$C$17)</f>
        <v>1940262.1875</v>
      </c>
      <c r="C38" s="31" t="n">
        <f aca="false">$A38*$C$6*$C$8*C$34*$C$12*(1-$C$16)*(1-$C$17)</f>
        <v>2910393.28125</v>
      </c>
      <c r="D38" s="31" t="n">
        <f aca="false">$A38*$C$6*$C$8*D$34*$C$12*(1-$C$16)*(1-$C$17)</f>
        <v>3880524.375</v>
      </c>
      <c r="E38" s="31" t="n">
        <f aca="false">$A38*$C$6*$C$8*E$34*$C$12*(1-$C$16)*(1-$C$17)</f>
        <v>4850655.46875</v>
      </c>
      <c r="F38" s="31" t="n">
        <f aca="false">$A38*$C$6*$C$8*F$34*$C$12*(1-$C$16)*(1-$C$17)</f>
        <v>5820786.5625</v>
      </c>
      <c r="G38" s="31" t="n">
        <f aca="false">$A38*$C$6*$C$8*G$34*$C$12*(1-$C$16)*(1-$C$17)</f>
        <v>6790917.65625</v>
      </c>
    </row>
    <row r="39" customFormat="false" ht="15" hidden="false" customHeight="true" outlineLevel="0" collapsed="false">
      <c r="A39" s="30" t="n">
        <v>5000</v>
      </c>
      <c r="B39" s="31" t="n">
        <f aca="false">$A39*$C$6*$C$8*B$34*$C$12*(1-$C$16)*(1-$C$17)</f>
        <v>3233770.3125</v>
      </c>
      <c r="C39" s="31" t="n">
        <f aca="false">$A39*$C$6*$C$8*C$34*$C$12*(1-$C$16)*(1-$C$17)</f>
        <v>4850655.46875</v>
      </c>
      <c r="D39" s="31" t="n">
        <f aca="false">$A39*$C$6*$C$8*D$34*$C$12*(1-$C$16)*(1-$C$17)</f>
        <v>6467540.625</v>
      </c>
      <c r="E39" s="31" t="n">
        <f aca="false">$A39*$C$6*$C$8*E$34*$C$12*(1-$C$16)*(1-$C$17)</f>
        <v>8084425.78125</v>
      </c>
      <c r="F39" s="31" t="n">
        <f aca="false">$A39*$C$6*$C$8*F$34*$C$12*(1-$C$16)*(1-$C$17)</f>
        <v>9701310.9375</v>
      </c>
      <c r="G39" s="31" t="n">
        <f aca="false">$A39*$C$6*$C$8*G$34*$C$12*(1-$C$16)*(1-$C$17)</f>
        <v>11318196.09375</v>
      </c>
    </row>
    <row r="40" customFormat="false" ht="15" hidden="false" customHeight="true" outlineLevel="0" collapsed="false">
      <c r="A40" s="30" t="n">
        <v>8000</v>
      </c>
      <c r="B40" s="31" t="n">
        <f aca="false">$A40*$C$6*$C$8*B$34*$C$12*(1-$C$16)*(1-$C$17)</f>
        <v>5174032.5</v>
      </c>
      <c r="C40" s="31" t="n">
        <f aca="false">$A40*$C$6*$C$8*C$34*$C$12*(1-$C$16)*(1-$C$17)</f>
        <v>7761048.75</v>
      </c>
      <c r="D40" s="31" t="n">
        <f aca="false">$A40*$C$6*$C$8*D$34*$C$12*(1-$C$16)*(1-$C$17)</f>
        <v>10348065</v>
      </c>
      <c r="E40" s="31" t="n">
        <f aca="false">$A40*$C$6*$C$8*E$34*$C$12*(1-$C$16)*(1-$C$17)</f>
        <v>12935081.25</v>
      </c>
      <c r="F40" s="31" t="n">
        <f aca="false">$A40*$C$6*$C$8*F$34*$C$12*(1-$C$16)*(1-$C$17)</f>
        <v>15522097.5</v>
      </c>
      <c r="G40" s="31" t="n">
        <f aca="false">$A40*$C$6*$C$8*G$34*$C$12*(1-$C$16)*(1-$C$17)</f>
        <v>18109113.75</v>
      </c>
    </row>
    <row r="41" customFormat="false" ht="15" hidden="false" customHeight="true" outlineLevel="0" collapsed="false">
      <c r="A41" s="30" t="n">
        <v>15000</v>
      </c>
      <c r="B41" s="31" t="n">
        <f aca="false">$A41*$C$6*$C$8*B$34*$C$12*(1-$C$16)*(1-$C$17)</f>
        <v>9701310.9375</v>
      </c>
      <c r="C41" s="31" t="n">
        <f aca="false">$A41*$C$6*$C$8*C$34*$C$12*(1-$C$16)*(1-$C$17)</f>
        <v>14551966.40625</v>
      </c>
      <c r="D41" s="31" t="n">
        <f aca="false">$A41*$C$6*$C$8*D$34*$C$12*(1-$C$16)*(1-$C$17)</f>
        <v>19402621.875</v>
      </c>
      <c r="E41" s="31" t="n">
        <f aca="false">$A41*$C$6*$C$8*E$34*$C$12*(1-$C$16)*(1-$C$17)</f>
        <v>24253277.34375</v>
      </c>
      <c r="F41" s="31" t="n">
        <f aca="false">$A41*$C$6*$C$8*F$34*$C$12*(1-$C$16)*(1-$C$17)</f>
        <v>29103932.8125</v>
      </c>
      <c r="G41" s="31" t="n">
        <f aca="false">$A41*$C$6*$C$8*G$34*$C$12*(1-$C$16)*(1-$C$17)</f>
        <v>33954588.28125</v>
      </c>
    </row>
    <row r="42" customFormat="false" ht="15" hidden="false" customHeight="true" outlineLevel="0" collapsed="false">
      <c r="A42" s="30" t="n">
        <v>30000</v>
      </c>
      <c r="B42" s="31" t="n">
        <f aca="false">$A42*$C$6*$C$8*B$34*$C$12*(1-$C$16)*(1-$C$17)</f>
        <v>19402621.875</v>
      </c>
      <c r="C42" s="31" t="n">
        <f aca="false">$A42*$C$6*$C$8*C$34*$C$12*(1-$C$16)*(1-$C$17)</f>
        <v>29103932.8125</v>
      </c>
      <c r="D42" s="31" t="n">
        <f aca="false">$A42*$C$6*$C$8*D$34*$C$12*(1-$C$16)*(1-$C$17)</f>
        <v>38805243.75</v>
      </c>
      <c r="E42" s="31" t="n">
        <f aca="false">$A42*$C$6*$C$8*E$34*$C$12*(1-$C$16)*(1-$C$17)</f>
        <v>48506554.6875</v>
      </c>
      <c r="F42" s="31" t="n">
        <f aca="false">$A42*$C$6*$C$8*F$34*$C$12*(1-$C$16)*(1-$C$17)</f>
        <v>58207865.625</v>
      </c>
      <c r="G42" s="31" t="n">
        <f aca="false">$A42*$C$6*$C$8*G$34*$C$12*(1-$C$16)*(1-$C$17)</f>
        <v>67909176.5625</v>
      </c>
    </row>
    <row r="44" customFormat="false" ht="15" hidden="false" customHeight="true" outlineLevel="0" collapsed="false">
      <c r="A44" s="32" t="s">
        <v>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14"/>
    <col collapsed="false" customWidth="true" hidden="false" outlineLevel="0" max="3" min="3" style="1" width="11"/>
    <col collapsed="false" customWidth="true" hidden="false" outlineLevel="0" max="4" min="4" style="1" width="12"/>
    <col collapsed="false" customWidth="true" hidden="false" outlineLevel="0" max="5" min="5" style="1" width="10"/>
    <col collapsed="false" customWidth="true" hidden="false" outlineLevel="0" max="6" min="6" style="1" width="14"/>
    <col collapsed="false" customWidth="true" hidden="false" outlineLevel="0" max="7" min="7" style="1" width="20"/>
    <col collapsed="false" customWidth="true" hidden="false" outlineLevel="0" max="8" min="8" style="1" width="17"/>
    <col collapsed="false" customWidth="true" hidden="false" outlineLevel="0" max="9" min="9" style="1" width="13"/>
    <col collapsed="false" customWidth="true" hidden="false" outlineLevel="0" max="11" min="10" style="1" width="18"/>
    <col collapsed="false" customWidth="true" hidden="false" outlineLevel="0" max="12" min="12" style="1" width="14"/>
  </cols>
  <sheetData>
    <row r="1" customFormat="false" ht="17.25" hidden="false" customHeight="true" outlineLevel="0" collapsed="false">
      <c r="A1" s="2" t="s">
        <v>48</v>
      </c>
    </row>
    <row r="2" customFormat="false" ht="15" hidden="false" customHeight="true" outlineLevel="0" collapsed="false">
      <c r="A2" s="32" t="s">
        <v>49</v>
      </c>
    </row>
    <row r="4" customFormat="false" ht="33.75" hidden="false" customHeight="true" outlineLevel="0" collapsed="false">
      <c r="A4" s="33" t="s">
        <v>50</v>
      </c>
      <c r="B4" s="33" t="s">
        <v>51</v>
      </c>
      <c r="C4" s="33" t="s">
        <v>52</v>
      </c>
      <c r="D4" s="33" t="s">
        <v>53</v>
      </c>
      <c r="E4" s="33" t="s">
        <v>54</v>
      </c>
      <c r="F4" s="33" t="s">
        <v>55</v>
      </c>
      <c r="G4" s="33" t="s">
        <v>56</v>
      </c>
      <c r="H4" s="33" t="s">
        <v>57</v>
      </c>
      <c r="I4" s="33" t="s">
        <v>58</v>
      </c>
      <c r="J4" s="33" t="s">
        <v>59</v>
      </c>
      <c r="K4" s="33" t="s">
        <v>60</v>
      </c>
      <c r="L4" s="33" t="s">
        <v>61</v>
      </c>
    </row>
    <row r="5" customFormat="false" ht="15" hidden="false" customHeight="true" outlineLevel="0" collapsed="false">
      <c r="A5" s="34" t="s">
        <v>62</v>
      </c>
      <c r="B5" s="12" t="n">
        <v>3000</v>
      </c>
      <c r="C5" s="35" t="n">
        <v>0.07</v>
      </c>
      <c r="D5" s="35" t="n">
        <v>0.25</v>
      </c>
      <c r="E5" s="35" t="n">
        <v>0.22</v>
      </c>
      <c r="F5" s="21" t="n">
        <v>399000</v>
      </c>
      <c r="G5" s="21" t="n">
        <v>0</v>
      </c>
      <c r="H5" s="21" t="n">
        <v>1550000</v>
      </c>
      <c r="I5" s="36" t="n">
        <f aca="false">B5*C5*D5*E5</f>
        <v>11.55</v>
      </c>
      <c r="J5" s="37" t="n">
        <f aca="false">I5*(F5+G5)*(1-'Mô hình'!$C$16)*(1-'Mô hình'!$C$17)</f>
        <v>4268576.8125</v>
      </c>
      <c r="K5" s="17" t="n">
        <f aca="false">J5-H5-J5*'Mô hình'!$C$26</f>
        <v>2419776.435625</v>
      </c>
      <c r="L5" s="38" t="n">
        <f aca="false">IF($K$5=0,"",K5/$K$5-1)</f>
        <v>0</v>
      </c>
    </row>
    <row r="6" customFormat="false" ht="15" hidden="false" customHeight="true" outlineLevel="0" collapsed="false">
      <c r="A6" s="39" t="s">
        <v>63</v>
      </c>
      <c r="B6" s="8" t="n">
        <v>3000</v>
      </c>
      <c r="C6" s="40" t="n">
        <v>0.07</v>
      </c>
      <c r="D6" s="40" t="n">
        <v>0.25</v>
      </c>
      <c r="E6" s="40" t="n">
        <v>0.22</v>
      </c>
      <c r="F6" s="15" t="n">
        <v>599000</v>
      </c>
      <c r="G6" s="15" t="n">
        <v>0</v>
      </c>
      <c r="H6" s="15" t="n">
        <v>1550000</v>
      </c>
      <c r="I6" s="41" t="n">
        <f aca="false">B6*C6*D6*E6</f>
        <v>11.55</v>
      </c>
      <c r="J6" s="42" t="n">
        <f aca="false">I6*(F6+G6)*(1-'Mô hình'!$C$16)*(1-'Mô hình'!$C$17)</f>
        <v>6408214.3125</v>
      </c>
      <c r="K6" s="20" t="n">
        <f aca="false">J6-H6-J6*'Mô hình'!$C$26</f>
        <v>4409639.310625</v>
      </c>
      <c r="L6" s="43" t="n">
        <f aca="false">IF($K$5=0,"",K6/$K$5-1)</f>
        <v>0.822333355141564</v>
      </c>
    </row>
    <row r="7" customFormat="false" ht="15" hidden="false" customHeight="true" outlineLevel="0" collapsed="false">
      <c r="A7" s="39" t="s">
        <v>64</v>
      </c>
      <c r="B7" s="8" t="n">
        <v>3000</v>
      </c>
      <c r="C7" s="40" t="n">
        <v>0.07</v>
      </c>
      <c r="D7" s="40" t="n">
        <v>0.25</v>
      </c>
      <c r="E7" s="40" t="n">
        <v>0.165</v>
      </c>
      <c r="F7" s="15" t="n">
        <v>599000</v>
      </c>
      <c r="G7" s="15" t="n">
        <v>0</v>
      </c>
      <c r="H7" s="15" t="n">
        <v>1550000</v>
      </c>
      <c r="I7" s="41" t="n">
        <f aca="false">B7*C7*D7*E7</f>
        <v>8.6625</v>
      </c>
      <c r="J7" s="42" t="n">
        <f aca="false">I7*(F7+G7)*(1-'Mô hình'!$C$16)*(1-'Mô hình'!$C$17)</f>
        <v>4806160.734375</v>
      </c>
      <c r="K7" s="20" t="n">
        <f aca="false">J7-H7-J7*'Mô hình'!$C$26</f>
        <v>2919729.48296875</v>
      </c>
      <c r="L7" s="43" t="n">
        <f aca="false">IF($K$5=0,"",K7/$K$5-1)</f>
        <v>0.206611255479318</v>
      </c>
    </row>
    <row r="8" customFormat="false" ht="15" hidden="false" customHeight="true" outlineLevel="0" collapsed="false">
      <c r="A8" s="39" t="s">
        <v>65</v>
      </c>
      <c r="B8" s="8" t="n">
        <v>3000</v>
      </c>
      <c r="C8" s="40" t="n">
        <v>0.07</v>
      </c>
      <c r="D8" s="40" t="n">
        <v>0.4</v>
      </c>
      <c r="E8" s="40" t="n">
        <v>0.22</v>
      </c>
      <c r="F8" s="15" t="n">
        <v>399000</v>
      </c>
      <c r="G8" s="15" t="n">
        <v>0</v>
      </c>
      <c r="H8" s="15" t="n">
        <v>1550000</v>
      </c>
      <c r="I8" s="41" t="n">
        <f aca="false">B8*C8*D8*E8</f>
        <v>18.48</v>
      </c>
      <c r="J8" s="42" t="n">
        <f aca="false">I8*(F8+G8)*(1-'Mô hình'!$C$16)*(1-'Mô hình'!$C$17)</f>
        <v>6829722.9</v>
      </c>
      <c r="K8" s="20" t="n">
        <f aca="false">J8-H8-J8*'Mô hình'!$C$26</f>
        <v>4801642.297</v>
      </c>
      <c r="L8" s="43" t="n">
        <f aca="false">IF($K$5=0,"",K8/$K$5-1)</f>
        <v>0.984333026104451</v>
      </c>
    </row>
    <row r="9" customFormat="false" ht="15" hidden="false" customHeight="true" outlineLevel="0" collapsed="false">
      <c r="A9" s="39" t="s">
        <v>66</v>
      </c>
      <c r="B9" s="8" t="n">
        <v>3000</v>
      </c>
      <c r="C9" s="40" t="n">
        <v>0.07</v>
      </c>
      <c r="D9" s="40" t="n">
        <v>0.25</v>
      </c>
      <c r="E9" s="40" t="n">
        <v>0.22</v>
      </c>
      <c r="F9" s="15" t="n">
        <v>399000</v>
      </c>
      <c r="G9" s="15" t="n">
        <v>180000</v>
      </c>
      <c r="H9" s="15" t="n">
        <v>1550000</v>
      </c>
      <c r="I9" s="41" t="n">
        <f aca="false">B9*C9*D9*E9</f>
        <v>11.55</v>
      </c>
      <c r="J9" s="42" t="n">
        <f aca="false">I9*(F9+G9)*(1-'Mô hình'!$C$16)*(1-'Mô hình'!$C$17)</f>
        <v>6194250.5625</v>
      </c>
      <c r="K9" s="20" t="n">
        <f aca="false">J9-H9-J9*'Mô hình'!$C$26</f>
        <v>4210653.023125</v>
      </c>
      <c r="L9" s="43" t="n">
        <f aca="false">IF($K$5=0,"",K9/$K$5-1)</f>
        <v>0.740100019627408</v>
      </c>
    </row>
    <row r="10" customFormat="false" ht="15" hidden="false" customHeight="true" outlineLevel="0" collapsed="false">
      <c r="A10" s="39" t="s">
        <v>67</v>
      </c>
      <c r="B10" s="8" t="n">
        <v>3000</v>
      </c>
      <c r="C10" s="40" t="n">
        <v>0.07</v>
      </c>
      <c r="D10" s="40" t="n">
        <v>0.25</v>
      </c>
      <c r="E10" s="40" t="n">
        <v>0.22</v>
      </c>
      <c r="F10" s="15" t="n">
        <v>399000</v>
      </c>
      <c r="G10" s="15" t="n">
        <v>100000</v>
      </c>
      <c r="H10" s="15" t="n">
        <v>1750000</v>
      </c>
      <c r="I10" s="41" t="n">
        <f aca="false">B10*C10*D10*E10</f>
        <v>11.55</v>
      </c>
      <c r="J10" s="42" t="n">
        <f aca="false">I10*(F10+G10)*(1-'Mô hình'!$C$16)*(1-'Mô hình'!$C$17)</f>
        <v>5338395.5625</v>
      </c>
      <c r="K10" s="20" t="n">
        <f aca="false">J10-H10-J10*'Mô hình'!$C$26</f>
        <v>3214707.873125</v>
      </c>
      <c r="L10" s="43" t="n">
        <f aca="false">IF($K$5=0,"",K10/$K$5-1)</f>
        <v>0.328514413892405</v>
      </c>
    </row>
    <row r="11" customFormat="false" ht="15" hidden="false" customHeight="true" outlineLevel="0" collapsed="false">
      <c r="A11" s="39" t="s">
        <v>68</v>
      </c>
      <c r="B11" s="8" t="n">
        <v>2100</v>
      </c>
      <c r="C11" s="40" t="n">
        <v>0.07</v>
      </c>
      <c r="D11" s="40" t="n">
        <v>0.25</v>
      </c>
      <c r="E11" s="40" t="n">
        <v>0.22</v>
      </c>
      <c r="F11" s="15" t="n">
        <v>399000</v>
      </c>
      <c r="G11" s="15" t="n">
        <v>0</v>
      </c>
      <c r="H11" s="15" t="n">
        <v>550000</v>
      </c>
      <c r="I11" s="41" t="n">
        <f aca="false">B11*C11*D11*E11</f>
        <v>8.085</v>
      </c>
      <c r="J11" s="42" t="n">
        <f aca="false">I11*(F11+G11)*(1-'Mô hình'!$C$16)*(1-'Mô hình'!$C$17)</f>
        <v>2988003.76875</v>
      </c>
      <c r="K11" s="20" t="n">
        <f aca="false">J11-H11-J11*'Mô hình'!$C$26</f>
        <v>2228843.5049375</v>
      </c>
      <c r="L11" s="43" t="n">
        <f aca="false">IF($K$5=0,"",K11/$K$5-1)</f>
        <v>-0.0789051946603426</v>
      </c>
    </row>
    <row r="12" customFormat="false" ht="15" hidden="false" customHeight="true" outlineLevel="0" collapsed="false">
      <c r="A12" s="39" t="s">
        <v>69</v>
      </c>
      <c r="B12" s="8" t="n">
        <v>6000</v>
      </c>
      <c r="C12" s="40" t="n">
        <v>0.07</v>
      </c>
      <c r="D12" s="40" t="n">
        <v>0.25</v>
      </c>
      <c r="E12" s="40" t="n">
        <v>0.22</v>
      </c>
      <c r="F12" s="15" t="n">
        <v>399000</v>
      </c>
      <c r="G12" s="15" t="n">
        <v>0</v>
      </c>
      <c r="H12" s="15" t="n">
        <v>3550000</v>
      </c>
      <c r="I12" s="41" t="n">
        <f aca="false">B12*C12*D12*E12</f>
        <v>23.1</v>
      </c>
      <c r="J12" s="42" t="n">
        <f aca="false">I12*(F12+G12)*(1-'Mô hình'!$C$16)*(1-'Mô hình'!$C$17)</f>
        <v>8537153.625</v>
      </c>
      <c r="K12" s="20" t="n">
        <f aca="false">J12-H12-J12*'Mô hình'!$C$26</f>
        <v>4389552.87125</v>
      </c>
      <c r="L12" s="43" t="n">
        <f aca="false">IF($K$5=0,"",K12/$K$5-1)</f>
        <v>0.814032406723652</v>
      </c>
    </row>
    <row r="13" customFormat="false" ht="15" hidden="false" customHeight="true" outlineLevel="0" collapsed="false">
      <c r="A13" s="39" t="s">
        <v>70</v>
      </c>
      <c r="B13" s="8" t="n">
        <v>3000</v>
      </c>
      <c r="C13" s="40" t="n">
        <v>0.07</v>
      </c>
      <c r="D13" s="40" t="n">
        <v>0.4</v>
      </c>
      <c r="E13" s="40" t="n">
        <v>0.22</v>
      </c>
      <c r="F13" s="15" t="n">
        <v>599000</v>
      </c>
      <c r="G13" s="15" t="n">
        <v>270000</v>
      </c>
      <c r="H13" s="15" t="n">
        <v>1550000</v>
      </c>
      <c r="I13" s="41" t="n">
        <f aca="false">B13*C13*D13*E13</f>
        <v>18.48</v>
      </c>
      <c r="J13" s="42" t="n">
        <f aca="false">I13*(F13+G13)*(1-'Mô hình'!$C$16)*(1-'Mô hình'!$C$17)</f>
        <v>14874759.9</v>
      </c>
      <c r="K13" s="20" t="n">
        <f aca="false">J13-H13-J13*'Mô hình'!$C$26</f>
        <v>12283526.707</v>
      </c>
      <c r="L13" s="43" t="n">
        <f aca="false">IF($K$5=0,"",K13/$K$5-1)</f>
        <v>4.07630644143673</v>
      </c>
    </row>
    <row r="16" customFormat="false" ht="15" hidden="false" customHeight="true" outlineLevel="0" collapsed="false">
      <c r="A16" s="26" t="s">
        <v>71</v>
      </c>
    </row>
    <row r="17" customFormat="false" ht="15" hidden="false" customHeight="true" outlineLevel="0" collapsed="false">
      <c r="A17" s="1" t="s">
        <v>72</v>
      </c>
    </row>
    <row r="18" customFormat="false" ht="15" hidden="false" customHeight="true" outlineLevel="0" collapsed="false">
      <c r="A18" s="1" t="s">
        <v>73</v>
      </c>
    </row>
    <row r="19" customFormat="false" ht="15" hidden="false" customHeight="true" outlineLevel="0" collapsed="false">
      <c r="A19" s="1" t="s">
        <v>74</v>
      </c>
    </row>
    <row r="20" customFormat="false" ht="15" hidden="false" customHeight="true" outlineLevel="0" collapsed="false">
      <c r="A20" s="1" t="s">
        <v>75</v>
      </c>
    </row>
    <row r="21" customFormat="false" ht="15" hidden="false" customHeight="true" outlineLevel="0" collapsed="false">
      <c r="A21" s="1" t="s">
        <v>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7" min="2" style="1" width="16"/>
  </cols>
  <sheetData>
    <row r="1" customFormat="false" ht="17.25" hidden="false" customHeight="true" outlineLevel="0" collapsed="false">
      <c r="A1" s="2" t="s">
        <v>77</v>
      </c>
    </row>
    <row r="2" customFormat="false" ht="15" hidden="false" customHeight="true" outlineLevel="0" collapsed="false">
      <c r="A2" s="32" t="s">
        <v>78</v>
      </c>
    </row>
    <row r="4" customFormat="false" ht="15" hidden="false" customHeight="true" outlineLevel="0" collapsed="false">
      <c r="A4" s="18" t="s">
        <v>79</v>
      </c>
      <c r="B4" s="18" t="s">
        <v>80</v>
      </c>
      <c r="C4" s="18"/>
    </row>
    <row r="5" customFormat="false" ht="15" hidden="false" customHeight="true" outlineLevel="0" collapsed="false">
      <c r="A5" s="44" t="s">
        <v>81</v>
      </c>
      <c r="B5" s="8" t="n">
        <f aca="false">'Mô hình'!C9</f>
        <v>52.5</v>
      </c>
      <c r="D5" s="9" t="s">
        <v>82</v>
      </c>
    </row>
    <row r="6" customFormat="false" ht="15" hidden="false" customHeight="true" outlineLevel="0" collapsed="false">
      <c r="A6" s="44" t="s">
        <v>83</v>
      </c>
      <c r="B6" s="40" t="n">
        <v>0.22</v>
      </c>
      <c r="D6" s="9" t="s">
        <v>84</v>
      </c>
    </row>
    <row r="7" customFormat="false" ht="15" hidden="false" customHeight="true" outlineLevel="0" collapsed="false">
      <c r="A7" s="44" t="s">
        <v>85</v>
      </c>
      <c r="B7" s="40" t="n">
        <v>0.15</v>
      </c>
      <c r="D7" s="9" t="s">
        <v>86</v>
      </c>
    </row>
    <row r="8" customFormat="false" ht="15" hidden="false" customHeight="true" outlineLevel="0" collapsed="false">
      <c r="A8" s="44" t="s">
        <v>87</v>
      </c>
      <c r="B8" s="15" t="n">
        <v>399000</v>
      </c>
      <c r="D8" s="9"/>
    </row>
    <row r="9" customFormat="false" ht="15" hidden="false" customHeight="true" outlineLevel="0" collapsed="false">
      <c r="A9" s="44" t="s">
        <v>88</v>
      </c>
      <c r="B9" s="15" t="n">
        <v>599000</v>
      </c>
      <c r="D9" s="9" t="s">
        <v>89</v>
      </c>
    </row>
    <row r="10" customFormat="false" ht="15" hidden="false" customHeight="true" outlineLevel="0" collapsed="false">
      <c r="A10" s="44" t="s">
        <v>90</v>
      </c>
      <c r="B10" s="40" t="n">
        <v>0.35</v>
      </c>
      <c r="D10" s="9" t="s">
        <v>91</v>
      </c>
    </row>
    <row r="11" customFormat="false" ht="15" hidden="false" customHeight="true" outlineLevel="0" collapsed="false">
      <c r="A11" s="44" t="s">
        <v>92</v>
      </c>
      <c r="B11" s="15" t="n">
        <v>2000000</v>
      </c>
      <c r="D11" s="9" t="s">
        <v>93</v>
      </c>
    </row>
    <row r="12" customFormat="false" ht="15" hidden="false" customHeight="true" outlineLevel="0" collapsed="false">
      <c r="A12" s="44" t="s">
        <v>94</v>
      </c>
      <c r="B12" s="15" t="n">
        <v>1550000</v>
      </c>
      <c r="D12" s="9" t="s">
        <v>95</v>
      </c>
    </row>
    <row r="14" customFormat="false" ht="15" hidden="false" customHeight="true" outlineLevel="0" collapsed="false">
      <c r="A14" s="4" t="s">
        <v>96</v>
      </c>
      <c r="B14" s="5" t="s">
        <v>97</v>
      </c>
      <c r="C14" s="5" t="s">
        <v>98</v>
      </c>
    </row>
    <row r="15" customFormat="false" ht="15" hidden="false" customHeight="true" outlineLevel="0" collapsed="false">
      <c r="A15" s="45" t="s">
        <v>99</v>
      </c>
      <c r="B15" s="36" t="n">
        <f aca="false">$B$5*$B$6</f>
        <v>11.55</v>
      </c>
      <c r="C15" s="36" t="n">
        <f aca="false">$B$5*$B$7</f>
        <v>7.875</v>
      </c>
    </row>
    <row r="16" customFormat="false" ht="15" hidden="false" customHeight="true" outlineLevel="0" collapsed="false">
      <c r="A16" s="45" t="s">
        <v>100</v>
      </c>
      <c r="B16" s="37" t="n">
        <f aca="false">B15*$B$8*(1-'Mô hình'!$C$16)*(1-'Mô hình'!$C$17)</f>
        <v>4268576.8125</v>
      </c>
      <c r="C16" s="37" t="n">
        <f aca="false">C15*$B$9*(1-'Mô hình'!$C$16)*(1-'Mô hình'!$C$17)</f>
        <v>4369237.03125</v>
      </c>
      <c r="D16" s="9" t="s">
        <v>101</v>
      </c>
    </row>
    <row r="17" customFormat="false" ht="15" hidden="false" customHeight="true" outlineLevel="0" collapsed="false">
      <c r="A17" s="26" t="s">
        <v>102</v>
      </c>
      <c r="B17" s="20" t="n">
        <f aca="false">B15*$B$8*(1-'Mô hình'!$C$16)*(1-'Mô hình'!$C$17)</f>
        <v>4268576.8125</v>
      </c>
      <c r="C17" s="20" t="n">
        <f aca="false">C15*$B$9/(1-$B$10)*(1-'Mô hình'!$C$16)*(1-'Mô hình'!$C$17)</f>
        <v>6721903.125</v>
      </c>
      <c r="D17" s="9" t="s">
        <v>103</v>
      </c>
    </row>
    <row r="18" customFormat="false" ht="15" hidden="false" customHeight="true" outlineLevel="0" collapsed="false">
      <c r="A18" s="45" t="s">
        <v>104</v>
      </c>
      <c r="B18" s="46" t="s">
        <v>105</v>
      </c>
      <c r="C18" s="47" t="n">
        <f aca="false">C15*12/(1-$B$10)</f>
        <v>145.384615384615</v>
      </c>
      <c r="D18" s="9" t="s">
        <v>106</v>
      </c>
    </row>
    <row r="19" customFormat="false" ht="15" hidden="false" customHeight="true" outlineLevel="0" collapsed="false">
      <c r="A19" s="45" t="s">
        <v>107</v>
      </c>
      <c r="B19" s="37" t="n">
        <f aca="false">$B$8</f>
        <v>399000</v>
      </c>
      <c r="C19" s="37" t="n">
        <f aca="false">$B$9/(1-$B$10)</f>
        <v>921538.461538462</v>
      </c>
    </row>
    <row r="20" customFormat="false" ht="15" hidden="false" customHeight="true" outlineLevel="0" collapsed="false">
      <c r="A20" s="45" t="s">
        <v>108</v>
      </c>
      <c r="B20" s="37" t="n">
        <f aca="false">$B$12</f>
        <v>1550000</v>
      </c>
      <c r="C20" s="37" t="n">
        <f aca="false">$B$11+$B$12</f>
        <v>3550000</v>
      </c>
      <c r="D20" s="9" t="s">
        <v>109</v>
      </c>
    </row>
    <row r="21" customFormat="false" ht="15" hidden="false" customHeight="true" outlineLevel="0" collapsed="false">
      <c r="A21" s="26" t="s">
        <v>110</v>
      </c>
      <c r="B21" s="20" t="n">
        <f aca="false">B16-B20-B16*'Mô hình'!$C$26</f>
        <v>2419776.435625</v>
      </c>
      <c r="C21" s="20" t="n">
        <f aca="false">C16-C20-C16*'Mô hình'!$C$26</f>
        <v>513390.439062501</v>
      </c>
    </row>
    <row r="22" customFormat="false" ht="15" hidden="false" customHeight="true" outlineLevel="0" collapsed="false">
      <c r="A22" s="26" t="s">
        <v>111</v>
      </c>
      <c r="B22" s="20" t="n">
        <f aca="false">B17-B20-B17*'Mô hình'!$C$26</f>
        <v>2419776.435625</v>
      </c>
      <c r="C22" s="20" t="n">
        <f aca="false">C17-C20-C17*'Mô hình'!$C$26</f>
        <v>2701369.90625</v>
      </c>
    </row>
    <row r="24" customFormat="false" ht="15" hidden="false" customHeight="true" outlineLevel="0" collapsed="false">
      <c r="A24" s="26" t="s">
        <v>112</v>
      </c>
      <c r="B24" s="48" t="n">
        <f aca="false">IF(C15=0,"",1-(C15*$B$9*(1-'Mô hình'!$C$16)*(1-'Mô hình'!$C$17)*(1-'Mô hình'!$C$26))/(B15*$B$8*(1-'Mô hình'!$C$16)*(1-'Mô hình'!$C$17)*(1-'Mô hình'!$C$26)+$B$11))</f>
        <v>0.319339596234463</v>
      </c>
      <c r="D24" s="9" t="s">
        <v>113</v>
      </c>
    </row>
    <row r="25" customFormat="false" ht="15" hidden="false" customHeight="true" outlineLevel="0" collapsed="false">
      <c r="A25" s="45" t="s">
        <v>114</v>
      </c>
      <c r="B25" s="37" t="n">
        <f aca="false">$B$11/(1-'Mô hình'!$C$26)</f>
        <v>2150537.6344086</v>
      </c>
      <c r="D25" s="9" t="s">
        <v>115</v>
      </c>
    </row>
    <row r="27" customFormat="false" ht="15" hidden="false" customHeight="true" outlineLevel="0" collapsed="false">
      <c r="A27" s="26" t="s">
        <v>116</v>
      </c>
    </row>
    <row r="28" customFormat="false" ht="15" hidden="false" customHeight="true" outlineLevel="0" collapsed="false">
      <c r="A28" s="28" t="s">
        <v>117</v>
      </c>
      <c r="B28" s="29" t="n">
        <v>0.08</v>
      </c>
      <c r="C28" s="29" t="n">
        <v>0.1</v>
      </c>
      <c r="D28" s="29" t="n">
        <v>0.12</v>
      </c>
      <c r="E28" s="29" t="n">
        <v>0.15</v>
      </c>
      <c r="F28" s="29" t="n">
        <v>0.18</v>
      </c>
      <c r="G28" s="29" t="n">
        <v>0.22</v>
      </c>
    </row>
    <row r="29" customFormat="false" ht="15" hidden="false" customHeight="true" outlineLevel="0" collapsed="false">
      <c r="A29" s="49" t="n">
        <v>0.15</v>
      </c>
      <c r="B29" s="31" t="n">
        <f aca="false">($B$5*B$28*$B$9/(1-$A29)*(1-'Mô hình'!$C$16)*(1-'Mô hình'!$C$17))*(1-'Mô hình'!$C$26)-($B$11+$B$12)</f>
        <v>-1000421.68529412</v>
      </c>
      <c r="C29" s="31" t="n">
        <f aca="false">($B$5*C$28*$B$9/(1-$A29)*(1-'Mô hình'!$C$16)*(1-'Mô hình'!$C$17))*(1-'Mô hình'!$C$26)-($B$11+$B$12)</f>
        <v>-363027.106617647</v>
      </c>
      <c r="D29" s="31" t="n">
        <f aca="false">($B$5*D$28*$B$9/(1-$A29)*(1-'Mô hình'!$C$16)*(1-'Mô hình'!$C$17))*(1-'Mô hình'!$C$26)-($B$11+$B$12)</f>
        <v>274367.472058824</v>
      </c>
      <c r="E29" s="31" t="n">
        <f aca="false">($B$5*E$28*$B$9/(1-$A29)*(1-'Mô hình'!$C$16)*(1-'Mô hình'!$C$17))*(1-'Mô hình'!$C$26)-($B$11+$B$12)</f>
        <v>1230459.34007353</v>
      </c>
      <c r="F29" s="31" t="n">
        <f aca="false">($B$5*F$28*$B$9/(1-$A29)*(1-'Mô hình'!$C$16)*(1-'Mô hình'!$C$17))*(1-'Mô hình'!$C$26)-($B$11+$B$12)</f>
        <v>2186551.20808824</v>
      </c>
      <c r="G29" s="31" t="n">
        <f aca="false">($B$5*G$28*$B$9/(1-$A29)*(1-'Mô hình'!$C$16)*(1-'Mô hình'!$C$17))*(1-'Mô hình'!$C$26)-($B$11+$B$12)</f>
        <v>3461340.36544118</v>
      </c>
    </row>
    <row r="30" customFormat="false" ht="15" hidden="false" customHeight="true" outlineLevel="0" collapsed="false">
      <c r="A30" s="49" t="n">
        <v>0.2</v>
      </c>
      <c r="B30" s="31" t="n">
        <f aca="false">($B$5*B$28*$B$9/(1-$A30)*(1-'Mô hình'!$C$16)*(1-'Mô hình'!$C$17))*(1-'Mô hình'!$C$26)-($B$11+$B$12)</f>
        <v>-841073.040625</v>
      </c>
      <c r="C30" s="31" t="n">
        <f aca="false">($B$5*C$28*$B$9/(1-$A30)*(1-'Mô hình'!$C$16)*(1-'Mô hình'!$C$17))*(1-'Mô hình'!$C$26)-($B$11+$B$12)</f>
        <v>-163841.30078125</v>
      </c>
      <c r="D30" s="31" t="n">
        <f aca="false">($B$5*D$28*$B$9/(1-$A30)*(1-'Mô hình'!$C$16)*(1-'Mô hình'!$C$17))*(1-'Mô hình'!$C$26)-($B$11+$B$12)</f>
        <v>513390.4390625</v>
      </c>
      <c r="E30" s="31" t="n">
        <f aca="false">($B$5*E$28*$B$9/(1-$A30)*(1-'Mô hình'!$C$16)*(1-'Mô hình'!$C$17))*(1-'Mô hình'!$C$26)-($B$11+$B$12)</f>
        <v>1529238.04882813</v>
      </c>
      <c r="F30" s="31" t="n">
        <f aca="false">($B$5*F$28*$B$9/(1-$A30)*(1-'Mô hình'!$C$16)*(1-'Mô hình'!$C$17))*(1-'Mô hình'!$C$26)-($B$11+$B$12)</f>
        <v>2545085.65859375</v>
      </c>
      <c r="G30" s="31" t="n">
        <f aca="false">($B$5*G$28*$B$9/(1-$A30)*(1-'Mô hình'!$C$16)*(1-'Mô hình'!$C$17))*(1-'Mô hình'!$C$26)-($B$11+$B$12)</f>
        <v>3899549.13828125</v>
      </c>
    </row>
    <row r="31" customFormat="false" ht="15" hidden="false" customHeight="true" outlineLevel="0" collapsed="false">
      <c r="A31" s="49" t="n">
        <v>0.25</v>
      </c>
      <c r="B31" s="31" t="n">
        <f aca="false">($B$5*B$28*$B$9/(1-$A31)*(1-'Mô hình'!$C$16)*(1-'Mô hình'!$C$17))*(1-'Mô hình'!$C$26)-($B$11+$B$12)</f>
        <v>-660477.91</v>
      </c>
      <c r="C31" s="31" t="n">
        <f aca="false">($B$5*C$28*$B$9/(1-$A31)*(1-'Mô hình'!$C$16)*(1-'Mô hình'!$C$17))*(1-'Mô hình'!$C$26)-($B$11+$B$12)</f>
        <v>61902.6125000003</v>
      </c>
      <c r="D31" s="31" t="n">
        <f aca="false">($B$5*D$28*$B$9/(1-$A31)*(1-'Mô hình'!$C$16)*(1-'Mô hình'!$C$17))*(1-'Mô hình'!$C$26)-($B$11+$B$12)</f>
        <v>784283.135000001</v>
      </c>
      <c r="E31" s="31" t="n">
        <f aca="false">($B$5*E$28*$B$9/(1-$A31)*(1-'Mô hình'!$C$16)*(1-'Mô hình'!$C$17))*(1-'Mô hình'!$C$26)-($B$11+$B$12)</f>
        <v>1867853.91875</v>
      </c>
      <c r="F31" s="31" t="n">
        <f aca="false">($B$5*F$28*$B$9/(1-$A31)*(1-'Mô hình'!$C$16)*(1-'Mô hình'!$C$17))*(1-'Mô hình'!$C$26)-($B$11+$B$12)</f>
        <v>2951424.7025</v>
      </c>
      <c r="G31" s="31" t="n">
        <f aca="false">($B$5*G$28*$B$9/(1-$A31)*(1-'Mô hình'!$C$16)*(1-'Mô hình'!$C$17))*(1-'Mô hình'!$C$26)-($B$11+$B$12)</f>
        <v>4396185.7475</v>
      </c>
    </row>
    <row r="32" customFormat="false" ht="15" hidden="false" customHeight="true" outlineLevel="0" collapsed="false">
      <c r="A32" s="49" t="n">
        <v>0.3</v>
      </c>
      <c r="B32" s="31" t="n">
        <f aca="false">($B$5*B$28*$B$9/(1-$A32)*(1-'Mô hình'!$C$16)*(1-'Mô hình'!$C$17))*(1-'Mô hình'!$C$26)-($B$11+$B$12)</f>
        <v>-454083.474999999</v>
      </c>
      <c r="C32" s="31" t="n">
        <f aca="false">($B$5*C$28*$B$9/(1-$A32)*(1-'Mô hình'!$C$16)*(1-'Mô hình'!$C$17))*(1-'Mô hình'!$C$26)-($B$11+$B$12)</f>
        <v>319895.65625</v>
      </c>
      <c r="D32" s="31" t="n">
        <f aca="false">($B$5*D$28*$B$9/(1-$A32)*(1-'Mô hình'!$C$16)*(1-'Mô hình'!$C$17))*(1-'Mô hình'!$C$26)-($B$11+$B$12)</f>
        <v>1093874.7875</v>
      </c>
      <c r="E32" s="31" t="n">
        <f aca="false">($B$5*E$28*$B$9/(1-$A32)*(1-'Mô hình'!$C$16)*(1-'Mô hình'!$C$17))*(1-'Mô hình'!$C$26)-($B$11+$B$12)</f>
        <v>2254843.484375</v>
      </c>
      <c r="F32" s="31" t="n">
        <f aca="false">($B$5*F$28*$B$9/(1-$A32)*(1-'Mô hình'!$C$16)*(1-'Mô hình'!$C$17))*(1-'Mô hình'!$C$26)-($B$11+$B$12)</f>
        <v>3415812.18125</v>
      </c>
      <c r="G32" s="31" t="n">
        <f aca="false">($B$5*G$28*$B$9/(1-$A32)*(1-'Mô hình'!$C$16)*(1-'Mô hình'!$C$17))*(1-'Mô hình'!$C$26)-($B$11+$B$12)</f>
        <v>4963770.44375</v>
      </c>
    </row>
    <row r="33" customFormat="false" ht="15" hidden="false" customHeight="true" outlineLevel="0" collapsed="false">
      <c r="A33" s="49" t="n">
        <v>0.35</v>
      </c>
      <c r="B33" s="31" t="n">
        <f aca="false">($B$5*B$28*$B$9/(1-$A33)*(1-'Mô hình'!$C$16)*(1-'Mô hình'!$C$17))*(1-'Mô hình'!$C$26)-($B$11+$B$12)</f>
        <v>-215936.05</v>
      </c>
      <c r="C33" s="31" t="n">
        <f aca="false">($B$5*C$28*$B$9/(1-$A33)*(1-'Mô hình'!$C$16)*(1-'Mô hình'!$C$17))*(1-'Mô hình'!$C$26)-($B$11+$B$12)</f>
        <v>617579.937500001</v>
      </c>
      <c r="D33" s="31" t="n">
        <f aca="false">($B$5*D$28*$B$9/(1-$A33)*(1-'Mô hình'!$C$16)*(1-'Mô hình'!$C$17))*(1-'Mô hình'!$C$26)-($B$11+$B$12)</f>
        <v>1451095.925</v>
      </c>
      <c r="E33" s="31" t="n">
        <f aca="false">($B$5*E$28*$B$9/(1-$A33)*(1-'Mô hình'!$C$16)*(1-'Mô hình'!$C$17))*(1-'Mô hình'!$C$26)-($B$11+$B$12)</f>
        <v>2701369.90625</v>
      </c>
      <c r="F33" s="31" t="n">
        <f aca="false">($B$5*F$28*$B$9/(1-$A33)*(1-'Mô hình'!$C$16)*(1-'Mô hình'!$C$17))*(1-'Mô hình'!$C$26)-($B$11+$B$12)</f>
        <v>3951643.8875</v>
      </c>
      <c r="G33" s="31" t="n">
        <f aca="false">($B$5*G$28*$B$9/(1-$A33)*(1-'Mô hình'!$C$16)*(1-'Mô hình'!$C$17))*(1-'Mô hình'!$C$26)-($B$11+$B$12)</f>
        <v>5618675.8625</v>
      </c>
    </row>
    <row r="34" customFormat="false" ht="15" hidden="false" customHeight="true" outlineLevel="0" collapsed="false">
      <c r="A34" s="49" t="n">
        <v>0.4</v>
      </c>
      <c r="B34" s="31" t="n">
        <f aca="false">($B$5*B$28*$B$9/(1-$A34)*(1-'Mô hình'!$C$16)*(1-'Mô hình'!$C$17))*(1-'Mô hình'!$C$26)-($B$11+$B$12)</f>
        <v>61902.6125000007</v>
      </c>
      <c r="C34" s="31" t="n">
        <f aca="false">($B$5*C$28*$B$9/(1-$A34)*(1-'Mô hình'!$C$16)*(1-'Mô hình'!$C$17))*(1-'Mô hình'!$C$26)-($B$11+$B$12)</f>
        <v>964878.265625001</v>
      </c>
      <c r="D34" s="31" t="n">
        <f aca="false">($B$5*D$28*$B$9/(1-$A34)*(1-'Mô hình'!$C$16)*(1-'Mô hình'!$C$17))*(1-'Mô hình'!$C$26)-($B$11+$B$12)</f>
        <v>1867853.91875</v>
      </c>
      <c r="E34" s="31" t="n">
        <f aca="false">($B$5*E$28*$B$9/(1-$A34)*(1-'Mô hình'!$C$16)*(1-'Mô hình'!$C$17))*(1-'Mô hình'!$C$26)-($B$11+$B$12)</f>
        <v>3222317.3984375</v>
      </c>
      <c r="F34" s="31" t="n">
        <f aca="false">($B$5*F$28*$B$9/(1-$A34)*(1-'Mô hình'!$C$16)*(1-'Mô hình'!$C$17))*(1-'Mô hình'!$C$26)-($B$11+$B$12)</f>
        <v>4576780.878125</v>
      </c>
      <c r="G34" s="31" t="n">
        <f aca="false">($B$5*G$28*$B$9/(1-$A34)*(1-'Mô hình'!$C$16)*(1-'Mô hình'!$C$17))*(1-'Mô hình'!$C$26)-($B$11+$B$12)</f>
        <v>6382732.184375</v>
      </c>
    </row>
    <row r="35" customFormat="false" ht="15" hidden="false" customHeight="true" outlineLevel="0" collapsed="false">
      <c r="A35" s="49" t="n">
        <v>0.5</v>
      </c>
      <c r="B35" s="31" t="n">
        <f aca="false">($B$5*B$28*$B$9/(1-$A35)*(1-'Mô hình'!$C$16)*(1-'Mô hình'!$C$17))*(1-'Mô hình'!$C$26)-($B$11+$B$12)</f>
        <v>784283.135000001</v>
      </c>
      <c r="C35" s="31" t="n">
        <f aca="false">($B$5*C$28*$B$9/(1-$A35)*(1-'Mô hình'!$C$16)*(1-'Mô hình'!$C$17))*(1-'Mô hình'!$C$26)-($B$11+$B$12)</f>
        <v>1867853.91875</v>
      </c>
      <c r="D35" s="31" t="n">
        <f aca="false">($B$5*D$28*$B$9/(1-$A35)*(1-'Mô hình'!$C$16)*(1-'Mô hình'!$C$17))*(1-'Mô hình'!$C$26)-($B$11+$B$12)</f>
        <v>2951424.7025</v>
      </c>
      <c r="E35" s="31" t="n">
        <f aca="false">($B$5*E$28*$B$9/(1-$A35)*(1-'Mô hình'!$C$16)*(1-'Mô hình'!$C$17))*(1-'Mô hình'!$C$26)-($B$11+$B$12)</f>
        <v>4576780.878125</v>
      </c>
      <c r="F35" s="31" t="n">
        <f aca="false">($B$5*F$28*$B$9/(1-$A35)*(1-'Mô hình'!$C$16)*(1-'Mô hình'!$C$17))*(1-'Mô hình'!$C$26)-($B$11+$B$12)</f>
        <v>6202137.05375</v>
      </c>
      <c r="G35" s="31" t="n">
        <f aca="false">($B$5*G$28*$B$9/(1-$A35)*(1-'Mô hình'!$C$16)*(1-'Mô hình'!$C$17))*(1-'Mô hình'!$C$26)-($B$11+$B$12)</f>
        <v>8369278.62125</v>
      </c>
    </row>
    <row r="36" customFormat="false" ht="15" hidden="false" customHeight="true" outlineLevel="0" collapsed="false">
      <c r="A36" s="49" t="n">
        <v>0.6</v>
      </c>
      <c r="B36" s="31" t="n">
        <f aca="false">($B$5*B$28*$B$9/(1-$A36)*(1-'Mô hình'!$C$16)*(1-'Mô hình'!$C$17))*(1-'Mô hình'!$C$26)-($B$11+$B$12)</f>
        <v>1867853.91875</v>
      </c>
      <c r="C36" s="31" t="n">
        <f aca="false">($B$5*C$28*$B$9/(1-$A36)*(1-'Mô hình'!$C$16)*(1-'Mô hình'!$C$17))*(1-'Mô hình'!$C$26)-($B$11+$B$12)</f>
        <v>3222317.3984375</v>
      </c>
      <c r="D36" s="31" t="n">
        <f aca="false">($B$5*D$28*$B$9/(1-$A36)*(1-'Mô hình'!$C$16)*(1-'Mô hình'!$C$17))*(1-'Mô hình'!$C$26)-($B$11+$B$12)</f>
        <v>4576780.878125</v>
      </c>
      <c r="E36" s="31" t="n">
        <f aca="false">($B$5*E$28*$B$9/(1-$A36)*(1-'Mô hình'!$C$16)*(1-'Mô hình'!$C$17))*(1-'Mô hình'!$C$26)-($B$11+$B$12)</f>
        <v>6608476.09765625</v>
      </c>
      <c r="F36" s="31" t="n">
        <f aca="false">($B$5*F$28*$B$9/(1-$A36)*(1-'Mô hình'!$C$16)*(1-'Mô hình'!$C$17))*(1-'Mô hình'!$C$26)-($B$11+$B$12)</f>
        <v>8640171.3171875</v>
      </c>
      <c r="G36" s="31" t="n">
        <f aca="false">($B$5*G$28*$B$9/(1-$A36)*(1-'Mô hình'!$C$16)*(1-'Mô hình'!$C$17))*(1-'Mô hình'!$C$26)-($B$11+$B$12)</f>
        <v>11349098.2765625</v>
      </c>
    </row>
    <row r="38" customFormat="false" ht="15" hidden="false" customHeight="true" outlineLevel="0" collapsed="false">
      <c r="A38" s="26" t="s">
        <v>118</v>
      </c>
    </row>
    <row r="39" customFormat="false" ht="15" hidden="false" customHeight="true" outlineLevel="0" collapsed="false">
      <c r="A39" s="1" t="s">
        <v>119</v>
      </c>
    </row>
    <row r="40" customFormat="false" ht="15" hidden="false" customHeight="true" outlineLevel="0" collapsed="false">
      <c r="A40" s="1" t="s">
        <v>120</v>
      </c>
    </row>
    <row r="41" customFormat="false" ht="15" hidden="false" customHeight="true" outlineLevel="0" collapsed="false">
      <c r="A41" s="1" t="s">
        <v>121</v>
      </c>
    </row>
    <row r="42" customFormat="false" ht="15" hidden="false" customHeight="true" outlineLevel="0" collapsed="false">
      <c r="A42" s="1" t="s">
        <v>122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s>
  <sheetData>
    <row r="1" customFormat="false" ht="17.25" hidden="false" customHeight="true" outlineLevel="0" collapsed="false">
      <c r="A1" s="50" t="s">
        <v>123</v>
      </c>
    </row>
    <row r="2" customFormat="false" ht="15" hidden="false" customHeight="true" outlineLevel="0" collapsed="false">
      <c r="A2" s="51"/>
    </row>
    <row r="3" customFormat="false" ht="15" hidden="false" customHeight="true" outlineLevel="0" collapsed="false">
      <c r="A3" s="52" t="s">
        <v>124</v>
      </c>
    </row>
    <row r="4" customFormat="false" ht="27.75" hidden="false" customHeight="true" outlineLevel="0" collapsed="false">
      <c r="A4" s="51" t="s">
        <v>125</v>
      </c>
    </row>
    <row r="5" customFormat="false" ht="15" hidden="false" customHeight="true" outlineLevel="0" collapsed="false">
      <c r="A5" s="51"/>
    </row>
    <row r="6" customFormat="false" ht="15" hidden="false" customHeight="true" outlineLevel="0" collapsed="false">
      <c r="A6" s="52" t="s">
        <v>126</v>
      </c>
    </row>
    <row r="7" customFormat="false" ht="41.25" hidden="false" customHeight="true" outlineLevel="0" collapsed="false">
      <c r="A7" s="51" t="s">
        <v>127</v>
      </c>
    </row>
    <row r="8" customFormat="false" ht="27.75" hidden="false" customHeight="true" outlineLevel="0" collapsed="false">
      <c r="A8" s="51" t="s">
        <v>128</v>
      </c>
    </row>
    <row r="9" customFormat="false" ht="15" hidden="false" customHeight="true" outlineLevel="0" collapsed="false">
      <c r="A9" s="51"/>
    </row>
    <row r="10" customFormat="false" ht="15" hidden="false" customHeight="true" outlineLevel="0" collapsed="false">
      <c r="A10" s="52" t="s">
        <v>129</v>
      </c>
    </row>
    <row r="11" customFormat="false" ht="15" hidden="false" customHeight="true" outlineLevel="0" collapsed="false">
      <c r="A11" s="51" t="s">
        <v>130</v>
      </c>
    </row>
    <row r="12" customFormat="false" ht="15" hidden="false" customHeight="true" outlineLevel="0" collapsed="false">
      <c r="A12" s="51" t="s">
        <v>131</v>
      </c>
    </row>
    <row r="13" customFormat="false" ht="27.75" hidden="false" customHeight="true" outlineLevel="0" collapsed="false">
      <c r="A13" s="51" t="s">
        <v>132</v>
      </c>
    </row>
    <row r="14" customFormat="false" ht="15" hidden="false" customHeight="true" outlineLevel="0" collapsed="false">
      <c r="A14" s="51" t="s">
        <v>133</v>
      </c>
    </row>
    <row r="15" customFormat="false" ht="15" hidden="false" customHeight="true" outlineLevel="0" collapsed="false">
      <c r="A15" s="51"/>
    </row>
    <row r="16" customFormat="false" ht="15" hidden="false" customHeight="true" outlineLevel="0" collapsed="false">
      <c r="A16" s="52" t="s">
        <v>134</v>
      </c>
    </row>
    <row r="17" customFormat="false" ht="41.25" hidden="false" customHeight="true" outlineLevel="0" collapsed="false">
      <c r="A17" s="51" t="s">
        <v>135</v>
      </c>
    </row>
    <row r="18" customFormat="false" ht="15" hidden="false" customHeight="true" outlineLevel="0" collapsed="false">
      <c r="A18" s="51"/>
    </row>
    <row r="19" customFormat="false" ht="15" hidden="false" customHeight="true" outlineLevel="0" collapsed="false">
      <c r="A19" s="52" t="s">
        <v>136</v>
      </c>
    </row>
    <row r="20" customFormat="false" ht="15" hidden="false" customHeight="true" outlineLevel="0" collapsed="false">
      <c r="A20" s="51" t="s">
        <v>137</v>
      </c>
    </row>
    <row r="21" customFormat="false" ht="15" hidden="false" customHeight="true" outlineLevel="0" collapsed="false">
      <c r="A21" s="51" t="s">
        <v>138</v>
      </c>
    </row>
    <row r="22" customFormat="false" ht="27.75" hidden="false" customHeight="true" outlineLevel="0" collapsed="false">
      <c r="A22" s="51" t="s">
        <v>139</v>
      </c>
    </row>
    <row r="23" customFormat="false" ht="15" hidden="false" customHeight="true" outlineLevel="0" collapsed="false">
      <c r="A23" s="51"/>
    </row>
    <row r="24" customFormat="false" ht="15" hidden="false" customHeight="true" outlineLevel="0" collapsed="false">
      <c r="A24" s="52" t="s">
        <v>140</v>
      </c>
    </row>
    <row r="25" customFormat="false" ht="27.75" hidden="false" customHeight="true" outlineLevel="0" collapsed="false">
      <c r="A25" s="51"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2026-08-24T09:01:15Z</dcterms:created>
  <dc:creator>openpyxl</dc:creator>
  <dc:description/>
  <dc:language>en-US</dc:language>
  <cp:lastModifiedBy/>
  <dcterms:modified xsi:type="dcterms:W3CDTF">2026-08-24T09:28:56Z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